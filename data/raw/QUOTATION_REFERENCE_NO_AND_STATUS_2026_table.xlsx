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ton.setiawan\Downloads\"/>
    </mc:Choice>
  </mc:AlternateContent>
  <xr:revisionPtr revIDLastSave="0" documentId="13_ncr:1_{9C2C3A8D-140A-4A81-9AEA-30ABDF4096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" r:id="rId1"/>
  </sheets>
  <definedNames>
    <definedName name="_xlnm._FilterDatabase" localSheetId="0" hidden="1">'2026'!$A$1:$Z$230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2" i="1" l="1"/>
  <c r="N161" i="1"/>
  <c r="N160" i="1"/>
  <c r="N159" i="1"/>
  <c r="N157" i="1"/>
  <c r="N154" i="1"/>
  <c r="N153" i="1"/>
  <c r="N146" i="1"/>
  <c r="N145" i="1"/>
  <c r="N144" i="1"/>
  <c r="N128" i="1"/>
  <c r="N142" i="1"/>
  <c r="N143" i="1"/>
  <c r="N141" i="1"/>
  <c r="N136" i="1"/>
  <c r="N137" i="1"/>
  <c r="N138" i="1"/>
  <c r="N139" i="1"/>
  <c r="N140" i="1"/>
  <c r="N135" i="1"/>
  <c r="N125" i="1"/>
  <c r="N126" i="1"/>
  <c r="N134" i="1"/>
  <c r="N130" i="1"/>
  <c r="N131" i="1"/>
  <c r="N132" i="1"/>
  <c r="N133" i="1"/>
  <c r="N129" i="1"/>
  <c r="N112" i="1"/>
  <c r="N114" i="1"/>
  <c r="N121" i="1"/>
  <c r="N123" i="1"/>
  <c r="N124" i="1"/>
  <c r="N113" i="1"/>
  <c r="N110" i="1"/>
  <c r="N109" i="1"/>
  <c r="N102" i="1"/>
  <c r="N103" i="1"/>
  <c r="N104" i="1"/>
  <c r="N105" i="1"/>
  <c r="N106" i="1"/>
  <c r="N107" i="1"/>
  <c r="N108" i="1"/>
  <c r="N101" i="1"/>
  <c r="N100" i="1"/>
  <c r="N66" i="1"/>
  <c r="N96" i="1"/>
  <c r="N97" i="1"/>
  <c r="N98" i="1"/>
  <c r="N99" i="1"/>
  <c r="N95" i="1"/>
  <c r="N93" i="1"/>
  <c r="N86" i="1"/>
  <c r="N87" i="1"/>
  <c r="N88" i="1"/>
  <c r="N92" i="1"/>
  <c r="N91" i="1"/>
  <c r="N90" i="1"/>
  <c r="N89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5" i="1"/>
  <c r="N56" i="1"/>
  <c r="N55" i="1"/>
  <c r="N64" i="1"/>
  <c r="N63" i="1"/>
  <c r="N62" i="1"/>
  <c r="N61" i="1"/>
  <c r="N60" i="1" l="1"/>
  <c r="N59" i="1"/>
  <c r="N58" i="1"/>
  <c r="J57" i="1"/>
  <c r="N54" i="1"/>
  <c r="N53" i="1"/>
  <c r="N52" i="1"/>
  <c r="N51" i="1"/>
  <c r="J50" i="1"/>
  <c r="N50" i="1" s="1"/>
  <c r="N49" i="1"/>
  <c r="N48" i="1"/>
  <c r="N47" i="1"/>
  <c r="N46" i="1"/>
  <c r="N44" i="1"/>
  <c r="N45" i="1"/>
  <c r="N43" i="1"/>
  <c r="N42" i="1"/>
  <c r="N40" i="1"/>
  <c r="N41" i="1"/>
  <c r="N39" i="1"/>
  <c r="N38" i="1"/>
  <c r="N37" i="1"/>
  <c r="N36" i="1"/>
  <c r="N35" i="1" l="1"/>
  <c r="N34" i="1"/>
  <c r="N33" i="1"/>
  <c r="N32" i="1"/>
  <c r="N31" i="1"/>
  <c r="N30" i="1"/>
  <c r="N29" i="1" l="1"/>
  <c r="N28" i="1"/>
  <c r="N27" i="1"/>
  <c r="N26" i="1"/>
  <c r="J25" i="1"/>
  <c r="N25" i="1" s="1"/>
  <c r="N24" i="1"/>
  <c r="N23" i="1"/>
  <c r="N20" i="1"/>
  <c r="N21" i="1"/>
  <c r="N22" i="1"/>
  <c r="N19" i="1"/>
  <c r="N18" i="1"/>
  <c r="N17" i="1"/>
  <c r="J5" i="1"/>
  <c r="N5" i="1" s="1"/>
  <c r="N16" i="1"/>
  <c r="N15" i="1"/>
  <c r="N14" i="1"/>
  <c r="N13" i="1"/>
  <c r="N12" i="1"/>
  <c r="N11" i="1"/>
  <c r="N10" i="1"/>
  <c r="N9" i="1"/>
  <c r="N8" i="1"/>
  <c r="N7" i="1"/>
  <c r="N6" i="1"/>
  <c r="N3" i="1" l="1"/>
  <c r="N4" i="1"/>
  <c r="N2" i="1"/>
  <c r="AG2" i="1" l="1"/>
  <c r="AJ2" i="1"/>
  <c r="AD2" i="1"/>
</calcChain>
</file>

<file path=xl/sharedStrings.xml><?xml version="1.0" encoding="utf-8"?>
<sst xmlns="http://schemas.openxmlformats.org/spreadsheetml/2006/main" count="1781" uniqueCount="651">
  <si>
    <t>No</t>
  </si>
  <si>
    <t>CUSTOMER</t>
  </si>
  <si>
    <t>QUOTATION REFERENCE NO</t>
  </si>
  <si>
    <t xml:space="preserve">DESCRIPTION
</t>
  </si>
  <si>
    <t xml:space="preserve">WORK TYPE 
</t>
  </si>
  <si>
    <t>(USD)</t>
  </si>
  <si>
    <t>(SGD)</t>
  </si>
  <si>
    <t>(EUR)</t>
  </si>
  <si>
    <t>PO RECEIVED DATE</t>
  </si>
  <si>
    <t xml:space="preserve">QUOTATION STATUS </t>
  </si>
  <si>
    <t>DEP CODE</t>
  </si>
  <si>
    <t>CV</t>
  </si>
  <si>
    <t>SV</t>
  </si>
  <si>
    <t>MV</t>
  </si>
  <si>
    <t>RE</t>
  </si>
  <si>
    <t>HE</t>
  </si>
  <si>
    <t>Control Valve</t>
  </si>
  <si>
    <t>Safety Valve</t>
  </si>
  <si>
    <t>SALESMAN</t>
  </si>
  <si>
    <t>BRAND</t>
  </si>
  <si>
    <t>QUOTATION DATE</t>
  </si>
  <si>
    <t>PO NUMBER</t>
  </si>
  <si>
    <t>(IDR)</t>
  </si>
  <si>
    <t>IN</t>
  </si>
  <si>
    <t>REMARKS</t>
  </si>
  <si>
    <t>PROBABILITY</t>
  </si>
  <si>
    <t>EST PO DATE</t>
  </si>
  <si>
    <t>MRO</t>
  </si>
  <si>
    <t>Active</t>
  </si>
  <si>
    <t>AS</t>
  </si>
  <si>
    <t>SGD Est</t>
  </si>
  <si>
    <t>Margin</t>
  </si>
  <si>
    <t>AR</t>
  </si>
  <si>
    <t>Project</t>
  </si>
  <si>
    <t>HS</t>
  </si>
  <si>
    <t>Customer Bisnis Area</t>
  </si>
  <si>
    <t>Contractor/Trading</t>
  </si>
  <si>
    <t>Animal Feed</t>
  </si>
  <si>
    <t>Won</t>
  </si>
  <si>
    <t>Topsafe</t>
  </si>
  <si>
    <t>Value of Active Quotes</t>
  </si>
  <si>
    <t>Value of Quotes WON</t>
  </si>
  <si>
    <t>Value of Quotes LOST</t>
  </si>
  <si>
    <t>QN26-0001-MV-01-JS</t>
  </si>
  <si>
    <t>PT Amman Mineral</t>
  </si>
  <si>
    <t xml:space="preserve">Mining </t>
  </si>
  <si>
    <t>EL-O-Matic</t>
  </si>
  <si>
    <t>Pneumatic Actuator</t>
  </si>
  <si>
    <t>Jan</t>
  </si>
  <si>
    <t>QN26-0002-MV-01-HS</t>
  </si>
  <si>
    <t>QN26-0003-RE-01-JS</t>
  </si>
  <si>
    <t>Pacrim</t>
  </si>
  <si>
    <t>Breather Valve</t>
  </si>
  <si>
    <t>Q1</t>
  </si>
  <si>
    <t>Agro Raya Mas</t>
  </si>
  <si>
    <t>ARO-IR</t>
  </si>
  <si>
    <t xml:space="preserve">Diaphragm Pump
</t>
  </si>
  <si>
    <t>QN26-0004-RE-01-JS</t>
  </si>
  <si>
    <t>PT. PLN SC</t>
  </si>
  <si>
    <t>Power Plant</t>
  </si>
  <si>
    <t>IR</t>
  </si>
  <si>
    <t>Blower</t>
  </si>
  <si>
    <t>QN26-0005-SV-01-JS</t>
  </si>
  <si>
    <t>Wilmar Gresik</t>
  </si>
  <si>
    <t>Palm Oil</t>
  </si>
  <si>
    <t>Nacional</t>
  </si>
  <si>
    <t>DA</t>
  </si>
  <si>
    <t>Additional items for Amido Amine projects</t>
  </si>
  <si>
    <t>QN26-0006-HE-01-JS</t>
  </si>
  <si>
    <t>Apexindo</t>
  </si>
  <si>
    <t>Oil &amp; Gas</t>
  </si>
  <si>
    <t>APV</t>
  </si>
  <si>
    <t>PHE Spares</t>
  </si>
  <si>
    <t>Q2</t>
  </si>
  <si>
    <t>QN26-0007-MV-01-JS</t>
  </si>
  <si>
    <t>Triguna Inti Solusi</t>
  </si>
  <si>
    <t>Daniel</t>
  </si>
  <si>
    <t>Orifice Plate</t>
  </si>
  <si>
    <t>MT</t>
  </si>
  <si>
    <t>QN26-0008-MV-01-JS</t>
  </si>
  <si>
    <t>Flange Union &amp; Orifice plate</t>
  </si>
  <si>
    <t>Repeat Order</t>
  </si>
  <si>
    <t>PLTU Ketapang</t>
  </si>
  <si>
    <t>Trimitra Bangun Karya</t>
  </si>
  <si>
    <t>QN26-0010-MV-01-JS</t>
  </si>
  <si>
    <t>QN26-0009-MV-01-JS</t>
  </si>
  <si>
    <t>VW</t>
  </si>
  <si>
    <t>Spare kits VW 80R series</t>
  </si>
  <si>
    <t>QN26-0011-RE-01-JS</t>
  </si>
  <si>
    <t>KLK Oleo</t>
  </si>
  <si>
    <t>Robuschi</t>
  </si>
  <si>
    <t>QN26-0012-MV-01-JS</t>
  </si>
  <si>
    <t>Hwayeon Eng</t>
  </si>
  <si>
    <t>Below seal globe, butterfly and Y strainer</t>
  </si>
  <si>
    <t>FIKE</t>
  </si>
  <si>
    <t>Rupture Disc</t>
  </si>
  <si>
    <t>QN26-0014-IN-01-JS</t>
  </si>
  <si>
    <t>QN26-0013-MV-01-JS</t>
  </si>
  <si>
    <t>Sinar Mas Agri</t>
  </si>
  <si>
    <t>Masoneilan</t>
  </si>
  <si>
    <t>SVI1000 Positioner</t>
  </si>
  <si>
    <t>QN26-0015-MV-01-JS</t>
  </si>
  <si>
    <t>Pertagas OKA</t>
  </si>
  <si>
    <t>Budgetary</t>
  </si>
  <si>
    <t>PO PTEA-0126-0006</t>
  </si>
  <si>
    <t>PO PTEA-0126-0001</t>
  </si>
  <si>
    <t>QN26-0016-MV-02-JS</t>
  </si>
  <si>
    <t>Kalbio Global Medical</t>
  </si>
  <si>
    <t>Medical</t>
  </si>
  <si>
    <t>QN26-0017-MV-02-JS</t>
  </si>
  <si>
    <t>Indobharat rayon</t>
  </si>
  <si>
    <t>Viscose staple fiber</t>
  </si>
  <si>
    <t>QN26-0018-MV-02-JS</t>
  </si>
  <si>
    <t>PLTU Kendari</t>
  </si>
  <si>
    <t>Intervalve</t>
  </si>
  <si>
    <t>Butterfly &amp; Check Valve</t>
  </si>
  <si>
    <t>QN26-0021-IN-02-JS</t>
  </si>
  <si>
    <t>PT Barokah Energi</t>
  </si>
  <si>
    <t>STI</t>
  </si>
  <si>
    <t>Positioner</t>
  </si>
  <si>
    <t>QN26-0019-IN-02-JS</t>
  </si>
  <si>
    <t>Chandra Asri</t>
  </si>
  <si>
    <t>Petrochemical</t>
  </si>
  <si>
    <t>Airset 78-40</t>
  </si>
  <si>
    <t>QN26-0020-IN-02-JS</t>
  </si>
  <si>
    <t>HK</t>
  </si>
  <si>
    <t>Airset 78-40 &amp; Packing spares</t>
  </si>
  <si>
    <t>Inti Karya Persada Teknik</t>
  </si>
  <si>
    <t>Rueger</t>
  </si>
  <si>
    <t>Pressure Gauge</t>
  </si>
  <si>
    <t>Q3</t>
  </si>
  <si>
    <t>QN26-0023-MV-02-JS</t>
  </si>
  <si>
    <t>PT Trimitra Bangun Karyatama</t>
  </si>
  <si>
    <t>M&amp;J Celeros</t>
  </si>
  <si>
    <t>4 Way Diverter valve</t>
  </si>
  <si>
    <t>QN26-0022-IN-02-JS</t>
  </si>
  <si>
    <t>QN26-0024-HE-02-JS</t>
  </si>
  <si>
    <t>Eltherm</t>
  </si>
  <si>
    <t>Heat Tracing</t>
  </si>
  <si>
    <t>QN26-0025-HE-02-JS</t>
  </si>
  <si>
    <t>Jaya Power Makmur</t>
  </si>
  <si>
    <t>SPX</t>
  </si>
  <si>
    <t>SPX spare part</t>
  </si>
  <si>
    <t>QN26-0026-MV-02-JS</t>
  </si>
  <si>
    <t>BIFI</t>
  </si>
  <si>
    <t>Actuator</t>
  </si>
  <si>
    <t>QN26-0027-MV-02-JS</t>
  </si>
  <si>
    <t>QN26-0028-HE-02-JS</t>
  </si>
  <si>
    <t>Sinergi Multi</t>
  </si>
  <si>
    <t>Plate Heat Exchanger</t>
  </si>
  <si>
    <t>Fabricator</t>
  </si>
  <si>
    <t>QN26-0029-CV-02-JS</t>
  </si>
  <si>
    <t>PT Tridaya</t>
  </si>
  <si>
    <t>QN26-0030-MV-02-JS</t>
  </si>
  <si>
    <t>PT Indokomas Buana Perkasa</t>
  </si>
  <si>
    <t>Pressure Vacuum Relieve Valve</t>
  </si>
  <si>
    <t>QN26-0031-MV-02-JS</t>
  </si>
  <si>
    <t>On Off Valve</t>
  </si>
  <si>
    <t>QN26-0032-MV-02-JS</t>
  </si>
  <si>
    <t>Elmoz Geo Solusi</t>
  </si>
  <si>
    <t>Valvewerkz</t>
  </si>
  <si>
    <t>Manual valve</t>
  </si>
  <si>
    <t>Additional item for Elmoz</t>
  </si>
  <si>
    <t>QN26-0033-RE-02-JS</t>
  </si>
  <si>
    <t>PT Surya Marga Luhur</t>
  </si>
  <si>
    <t>SPX Johnson</t>
  </si>
  <si>
    <t>Gear Pump</t>
  </si>
  <si>
    <t>QN26-0034-RE-02-JS</t>
  </si>
  <si>
    <t>Centrifugal Pump</t>
  </si>
  <si>
    <t>There will be another 2 units</t>
  </si>
  <si>
    <t>QN26-0035-MV-02-JS</t>
  </si>
  <si>
    <t>FDC</t>
  </si>
  <si>
    <t>Pressure Relief Valve</t>
  </si>
  <si>
    <t>QN26-0036-IN-02-JS</t>
  </si>
  <si>
    <t>Argo Manunggal</t>
  </si>
  <si>
    <t>Temperature Gauge</t>
  </si>
  <si>
    <t>QN26-0037-IN-02-JS</t>
  </si>
  <si>
    <t>Maxitherm</t>
  </si>
  <si>
    <t>Pressure Gauge &amp; Temperature Gauge</t>
  </si>
  <si>
    <t>QN26-0038-MV-02-JS</t>
  </si>
  <si>
    <t>Samudera Marine Indonesia</t>
  </si>
  <si>
    <t>Shipyard</t>
  </si>
  <si>
    <t>MDT, CMO and TOMOE</t>
  </si>
  <si>
    <t>Ball and Butterfly Valve</t>
  </si>
  <si>
    <t>Customer requires ex-stock delivery</t>
  </si>
  <si>
    <t>QN26-0040-IN-02-JS</t>
  </si>
  <si>
    <t>Amido Amine project</t>
  </si>
  <si>
    <t>QN26-0039-MV-02-JS</t>
  </si>
  <si>
    <t>Yuan Sejati</t>
  </si>
  <si>
    <t>Senior Orifice and Orifice plate</t>
  </si>
  <si>
    <t>QN26-0041-RE-02-JS</t>
  </si>
  <si>
    <t>Sinar Multi</t>
  </si>
  <si>
    <t>W+ pump</t>
  </si>
  <si>
    <t>QN26-0042-MV-02-JS</t>
  </si>
  <si>
    <t>Sungai Budi</t>
  </si>
  <si>
    <t>Flour Mill</t>
  </si>
  <si>
    <t>Globe</t>
  </si>
  <si>
    <t>Lost</t>
  </si>
  <si>
    <t>Lost to Tozen.</t>
  </si>
  <si>
    <t>Budgetary. No update.</t>
  </si>
  <si>
    <t>No budget.</t>
  </si>
  <si>
    <t>Firm bidding Muara Laboh 2 project. No update</t>
  </si>
  <si>
    <t>Vendor registration. Stock BS&amp;B 2 pcs.</t>
  </si>
  <si>
    <t>RFQ from Kalbio Medical. Approval from Mgmt.</t>
  </si>
  <si>
    <t>From Yuan Sejati. Bidding</t>
  </si>
  <si>
    <t>Regularly by W+ pump. Budgetary.</t>
  </si>
  <si>
    <t>Order to Cashco</t>
  </si>
  <si>
    <t>QN26-0044-CV-03-JS</t>
  </si>
  <si>
    <t>Indorama</t>
  </si>
  <si>
    <t>Chemical</t>
  </si>
  <si>
    <t>Link</t>
  </si>
  <si>
    <t>Indorama require control valve for their Purwakarta plant</t>
  </si>
  <si>
    <t>QN26-0043-CV-03-JS</t>
  </si>
  <si>
    <t>Boiler Maker</t>
  </si>
  <si>
    <t>QN26-0045-CV-03-JS</t>
  </si>
  <si>
    <t>QN26-0046-SV-03-JS</t>
  </si>
  <si>
    <t>QN26-0047-SV-03-JS</t>
  </si>
  <si>
    <t>Consolidated</t>
  </si>
  <si>
    <t>Safety Valve thermodisc</t>
  </si>
  <si>
    <t>Duta Mitra Utama</t>
  </si>
  <si>
    <t>QN26-0048-MV-03-JS</t>
  </si>
  <si>
    <t>Bidding to PT Ethica</t>
  </si>
  <si>
    <t>QN26-0049-HE-03-JS</t>
  </si>
  <si>
    <t>Patuha 2 project</t>
  </si>
  <si>
    <t>QN26-0050-MV-03-JS</t>
  </si>
  <si>
    <t>Bonanza Megah</t>
  </si>
  <si>
    <t>QN26-0051-MV-03-JS</t>
  </si>
  <si>
    <t>QN26-0052-MV-03-JS</t>
  </si>
  <si>
    <t>QN26-0053-MV-03-JS</t>
  </si>
  <si>
    <t>Orifice Flange Union &amp; Orifice Plate</t>
  </si>
  <si>
    <t>QN26-0056-MV-03-AT</t>
  </si>
  <si>
    <t>Ingersoll-Malaysia</t>
  </si>
  <si>
    <t>Compressor Service</t>
  </si>
  <si>
    <t>N/A</t>
  </si>
  <si>
    <t>Seminar  for Jan &amp; Feb 2026</t>
  </si>
  <si>
    <t>April</t>
  </si>
  <si>
    <t>QN26-0057-MV-03-JS</t>
  </si>
  <si>
    <t>MNA Serang</t>
  </si>
  <si>
    <t>QN26-0061-MV-03-JS</t>
  </si>
  <si>
    <t>QN26-0058-MV-03-JS</t>
  </si>
  <si>
    <t>Orifice plate</t>
  </si>
  <si>
    <t>QN26-0059-MV-03-JS</t>
  </si>
  <si>
    <t>Mitra Rajawali Cemerlang</t>
  </si>
  <si>
    <t>QN26-0060-MV-03-JS</t>
  </si>
  <si>
    <t>Food</t>
  </si>
  <si>
    <t>Ball Valve</t>
  </si>
  <si>
    <t>Sinar Mas Marunda</t>
  </si>
  <si>
    <t>Ball valve</t>
  </si>
  <si>
    <t>QN26-0062-MV-03-JS</t>
  </si>
  <si>
    <t>Dover</t>
  </si>
  <si>
    <t>QN26-0063-MV-03-JS</t>
  </si>
  <si>
    <t>QN26-0054-MV-03-JS</t>
  </si>
  <si>
    <t>Pusakadomas</t>
  </si>
  <si>
    <t>QN26-0055-RE-03-JS</t>
  </si>
  <si>
    <t>RMS</t>
  </si>
  <si>
    <t>Impeller Spare</t>
  </si>
  <si>
    <t>RMS impeller</t>
  </si>
  <si>
    <t>PTEA-0426-0023</t>
  </si>
  <si>
    <t>QN26-0064-MV-04-JS</t>
  </si>
  <si>
    <t>Butterfly Valve</t>
  </si>
  <si>
    <t>PTEA-0426-0022</t>
  </si>
  <si>
    <t>QN26-0065-CV-04-JS</t>
  </si>
  <si>
    <t>Celeros</t>
  </si>
  <si>
    <t>Q4</t>
  </si>
  <si>
    <t>QN26-0066-MV-04-JS</t>
  </si>
  <si>
    <t>Berkat Anugerah</t>
  </si>
  <si>
    <t>QN26-0067-SV-04-JS</t>
  </si>
  <si>
    <t>Valve Engineers Indonesia</t>
  </si>
  <si>
    <t>1900 series</t>
  </si>
  <si>
    <t>QN26-0068-MV-04-JS</t>
  </si>
  <si>
    <t>Global Cahaya Perdana</t>
  </si>
  <si>
    <t>Explosion Venting</t>
  </si>
  <si>
    <t>QN26-0069-MV-04-JS</t>
  </si>
  <si>
    <t>Balon</t>
  </si>
  <si>
    <t>Manual Ball valve</t>
  </si>
  <si>
    <t>QN26-0070-MV-04-JS</t>
  </si>
  <si>
    <t>Kalbe Milko</t>
  </si>
  <si>
    <t>Dairy</t>
  </si>
  <si>
    <t>SPX Valve</t>
  </si>
  <si>
    <t>Various manual valve</t>
  </si>
  <si>
    <t>PTEA-0426-0020</t>
  </si>
  <si>
    <t>PTEA-0226-0013</t>
  </si>
  <si>
    <t>PTEA-0326-0018</t>
  </si>
  <si>
    <t>PTEA-0326-0016</t>
  </si>
  <si>
    <t>QN26-0071-HE-04-JS</t>
  </si>
  <si>
    <t>CV Geubrina</t>
  </si>
  <si>
    <t>SPX APV</t>
  </si>
  <si>
    <t>Spare part PHE</t>
  </si>
  <si>
    <t>PTEA-0426-0024</t>
  </si>
  <si>
    <t>QN26-0072-CV-04-JS</t>
  </si>
  <si>
    <t>SMART Marunda</t>
  </si>
  <si>
    <t xml:space="preserve">IN </t>
  </si>
  <si>
    <t>QN26-0073-IN-04-JS</t>
  </si>
  <si>
    <t>SOECHI grup</t>
  </si>
  <si>
    <t>Spare parts Instrument (Zero crossing)</t>
  </si>
  <si>
    <t>QN26-0074-IN-04-JS</t>
  </si>
  <si>
    <t>ASCO</t>
  </si>
  <si>
    <t>Solenoid</t>
  </si>
  <si>
    <t>QN26-0075-IN-04-JS</t>
  </si>
  <si>
    <t>QN26-0076-IN-04-JS</t>
  </si>
  <si>
    <t>QN26-0077-MV-04-JS</t>
  </si>
  <si>
    <t>OFU &amp; Orifice plate</t>
  </si>
  <si>
    <t>QN26-0078-MV-04-JS</t>
  </si>
  <si>
    <t>Manual ball valve</t>
  </si>
  <si>
    <t>QN26-0079-MV-04-JS</t>
  </si>
  <si>
    <t>Barokah Energi Sempurna</t>
  </si>
  <si>
    <t>HP Valve</t>
  </si>
  <si>
    <t>Globe and Globe Y Throttle</t>
  </si>
  <si>
    <t>QN26-0080-IN-04-JS</t>
  </si>
  <si>
    <t xml:space="preserve">Sumber Pangan Cemerlang </t>
  </si>
  <si>
    <t>QN26-0081-IN-04-JS</t>
  </si>
  <si>
    <t>IMI Maxseal</t>
  </si>
  <si>
    <t>QN26-0082-MV-04-JS</t>
  </si>
  <si>
    <t>Fujinawa Energi International</t>
  </si>
  <si>
    <t>QN26-0083-IN-04-JS</t>
  </si>
  <si>
    <t>Positioner SVI 2 AP</t>
  </si>
  <si>
    <t>QN26-0084-RE-04-JS</t>
  </si>
  <si>
    <t>Spare Robuschi</t>
  </si>
  <si>
    <t>QN26-0085-MV-04-JS</t>
  </si>
  <si>
    <t>QN26-0086-RE-04-JS</t>
  </si>
  <si>
    <t>Spare kit</t>
  </si>
  <si>
    <t>QN26-0088-MV-04-JS</t>
  </si>
  <si>
    <t>QN26-0089-RE-04-JS</t>
  </si>
  <si>
    <t>Spare kits</t>
  </si>
  <si>
    <t>QN26-0087-MV-04-JS</t>
  </si>
  <si>
    <t>QN26-0090-CV-05-JS</t>
  </si>
  <si>
    <t>Duta Sugar International</t>
  </si>
  <si>
    <t>Sugar Mill</t>
  </si>
  <si>
    <t>EBRO</t>
  </si>
  <si>
    <t>QN26-0091-CV-05-JS</t>
  </si>
  <si>
    <t>Open bid. No budget.</t>
  </si>
  <si>
    <t>Rame Valve</t>
  </si>
  <si>
    <t>Ritag</t>
  </si>
  <si>
    <t>Check Valve</t>
  </si>
  <si>
    <t>QN26-0093-CV-05-JS</t>
  </si>
  <si>
    <t>QN26-0092-HE-05-JS</t>
  </si>
  <si>
    <t>KPN</t>
  </si>
  <si>
    <t>Satoria Aneka</t>
  </si>
  <si>
    <t>Waiting customer clarification on tech spec</t>
  </si>
  <si>
    <t>QN26-0094-RE-05-JS</t>
  </si>
  <si>
    <t>OSA Putera</t>
  </si>
  <si>
    <t>Vacuum ELMO</t>
  </si>
  <si>
    <t>QN26-0096-MV-05-JS</t>
  </si>
  <si>
    <t>Vayacom</t>
  </si>
  <si>
    <t>Knife gate valve</t>
  </si>
  <si>
    <t>QN26-0098-IN-05-JS</t>
  </si>
  <si>
    <t>Parts Transmitter</t>
  </si>
  <si>
    <t>QN26-0097-RE-05-JS</t>
  </si>
  <si>
    <t>Andalan Fluid</t>
  </si>
  <si>
    <t xml:space="preserve">Blower </t>
  </si>
  <si>
    <t>IR Robuschi</t>
  </si>
  <si>
    <t>QN26-0095-RE-05-JS</t>
  </si>
  <si>
    <t>Sari Dumai Oleo</t>
  </si>
  <si>
    <t>IR Hibon</t>
  </si>
  <si>
    <t>Spare part</t>
  </si>
  <si>
    <t>Buy 2 pcs</t>
  </si>
  <si>
    <t>waiting quotation from Celeros. Quoted.</t>
  </si>
  <si>
    <t>Tiga Inti Pilar/Karunia</t>
  </si>
  <si>
    <t>PO-PTEA-0426-0024</t>
  </si>
  <si>
    <t>PO-PTEA-0426-0021</t>
  </si>
  <si>
    <t>PTEA-0326-0017</t>
  </si>
  <si>
    <t>Bentala Nusa Persada/Dua Digit</t>
  </si>
  <si>
    <t>QN26-0099-RE-05-JS</t>
  </si>
  <si>
    <t>Robuschi spare</t>
  </si>
  <si>
    <t>QN26-0100-IN-05-JS</t>
  </si>
  <si>
    <t>Inti Line Energi (Soechi Grup)</t>
  </si>
  <si>
    <t>Daniel Turbine meter spare</t>
  </si>
  <si>
    <t>QN26-0101-CV-05-JS</t>
  </si>
  <si>
    <t>QN26-0102-RE-05-JS</t>
  </si>
  <si>
    <t>QN26-0103-MV-05-JS</t>
  </si>
  <si>
    <t>QN26-0104-IN-05-JS</t>
  </si>
  <si>
    <t>QN26-0105-MV-05-JS</t>
  </si>
  <si>
    <t>QN26-0106-HE-05-JS</t>
  </si>
  <si>
    <t>QN26-0107-RE-05-JS</t>
  </si>
  <si>
    <t>Vaksindo</t>
  </si>
  <si>
    <t>Waiting quotation from Celeros.</t>
  </si>
  <si>
    <t>MiltonRoy</t>
  </si>
  <si>
    <t>Dosing pump spare</t>
  </si>
  <si>
    <t>SMART Positioner</t>
  </si>
  <si>
    <t>Sanitary RD</t>
  </si>
  <si>
    <t>APV PHE</t>
  </si>
  <si>
    <t>Gasket PHE</t>
  </si>
  <si>
    <t>Spare part Robuschi</t>
  </si>
  <si>
    <t>QN26-0108-MV-05-JS</t>
  </si>
  <si>
    <t xml:space="preserve">CV Cahaya Berkat </t>
  </si>
  <si>
    <t>QN26-0109-MV-05-JS</t>
  </si>
  <si>
    <t>HKC</t>
  </si>
  <si>
    <t>Double Acting Act</t>
  </si>
  <si>
    <t>QN26-0110-IN-05-JS</t>
  </si>
  <si>
    <t>Spiral Gasket</t>
  </si>
  <si>
    <t>QN26-0111-MV-05-JS</t>
  </si>
  <si>
    <t>Stravex</t>
  </si>
  <si>
    <t>Rotary globe valve</t>
  </si>
  <si>
    <t>QN26-0112-MV-05-JS</t>
  </si>
  <si>
    <t>Energi Unggul Persada</t>
  </si>
  <si>
    <t>QN26-0113-SV-05-JS</t>
  </si>
  <si>
    <t>QN26-0114-RE-05-JS</t>
  </si>
  <si>
    <t>Woodward</t>
  </si>
  <si>
    <t>Governor spares</t>
  </si>
  <si>
    <t>Waiting quotation from SWTS</t>
  </si>
  <si>
    <t>QN26-0115-CV-05-JS</t>
  </si>
  <si>
    <t>Varipak 28K series</t>
  </si>
  <si>
    <t>Check with Valmet the possibility to replace</t>
  </si>
  <si>
    <t>QN26-0116-CV-05-JS</t>
  </si>
  <si>
    <t>Camflex 35K series</t>
  </si>
  <si>
    <t>Check with CA whether accept alternative brand Stravex</t>
  </si>
  <si>
    <t>QN26-0117-CV-05-JS</t>
  </si>
  <si>
    <t>21K series</t>
  </si>
  <si>
    <t>Check with QVI the availability of this model</t>
  </si>
  <si>
    <t>QN26-0118-RE-05-JS</t>
  </si>
  <si>
    <t>Nikisso</t>
  </si>
  <si>
    <t>Sundyne spare parts</t>
  </si>
  <si>
    <t>Sundyne/Nikkiso</t>
  </si>
  <si>
    <t>Waiting Sundyne quotation</t>
  </si>
  <si>
    <t>QN26-0119-CV-05-JS</t>
  </si>
  <si>
    <t>Wilmar Serang</t>
  </si>
  <si>
    <t>35K series unit</t>
  </si>
  <si>
    <t>QN26-0120-RE-05-JS</t>
  </si>
  <si>
    <t>Sinar Multi Pakarindo</t>
  </si>
  <si>
    <t>QN26-0121-RE-05-JS</t>
  </si>
  <si>
    <t>Compressor spare part</t>
  </si>
  <si>
    <t>No quote due to compressor product</t>
  </si>
  <si>
    <t>QN26-0122-MV-05-JS</t>
  </si>
  <si>
    <t>Triarga</t>
  </si>
  <si>
    <t>Senior Orifice</t>
  </si>
  <si>
    <t>QN26-0123-HE-05-JS</t>
  </si>
  <si>
    <t>Food Equipment Producer</t>
  </si>
  <si>
    <t xml:space="preserve">SPX </t>
  </si>
  <si>
    <t>SMART Marunda Heat tracing Jetty pipeline project</t>
  </si>
  <si>
    <t>QN26-0124-MV-05-JS</t>
  </si>
  <si>
    <t>Flame Arrester</t>
  </si>
  <si>
    <t>QN26-0125-MV-05-JS</t>
  </si>
  <si>
    <t>Wiraswasta Gemilang Indonesia</t>
  </si>
  <si>
    <t>Oil Producer</t>
  </si>
  <si>
    <t>QN26-0126-RE-05-JS</t>
  </si>
  <si>
    <t>RBS spare parts</t>
  </si>
  <si>
    <t>Obsolete item. Check to replace with new unit.</t>
  </si>
  <si>
    <t>Spiral gasket is not Daniel spare/Out of scope</t>
  </si>
  <si>
    <t>O Ring kit. RCORP. Checking with CA the GAD</t>
  </si>
  <si>
    <t>V ring spare part. Wait quotation from principal</t>
  </si>
  <si>
    <t>QN26-0127-MV-06-JS</t>
  </si>
  <si>
    <t>Manual Valve with AlBronze material</t>
  </si>
  <si>
    <t>QN26-0128-MV-06-JS</t>
  </si>
  <si>
    <t>Frisian Flag</t>
  </si>
  <si>
    <t>Milk factory</t>
  </si>
  <si>
    <t>HELS</t>
  </si>
  <si>
    <t>Floating Ball Steam Traps</t>
  </si>
  <si>
    <t>QN26-0129-RE-06-JS</t>
  </si>
  <si>
    <t>Ineos</t>
  </si>
  <si>
    <t>Pulsafeeder Pump</t>
  </si>
  <si>
    <t>Pulsatron</t>
  </si>
  <si>
    <t>QN26-0130-RE-06-JS</t>
  </si>
  <si>
    <t>Sleeve shaft spare replacement</t>
  </si>
  <si>
    <t>QN26-0131-RE-06-JS</t>
  </si>
  <si>
    <t>No quote yet since waiting dimension of the shaft</t>
  </si>
  <si>
    <t>80R series</t>
  </si>
  <si>
    <t>QN26-0133-MV-06-JS</t>
  </si>
  <si>
    <t>QN26-0132-HE-06-JS</t>
  </si>
  <si>
    <t>Haskoning</t>
  </si>
  <si>
    <t>Engineering Consultant</t>
  </si>
  <si>
    <t>Customer buys gasket only</t>
  </si>
  <si>
    <t>QN26-0134-RE-06-JS</t>
  </si>
  <si>
    <t>Pharmaceutical</t>
  </si>
  <si>
    <t>Satake</t>
  </si>
  <si>
    <t>Portable Mixer</t>
  </si>
  <si>
    <t>Existing model is obsolete change to A720.02</t>
  </si>
  <si>
    <t>QN26-0135-MV-06-JS</t>
  </si>
  <si>
    <t>Geoservices</t>
  </si>
  <si>
    <t>Technical clarification from customer</t>
  </si>
  <si>
    <t>QN26-0136-MV-06-JS</t>
  </si>
  <si>
    <t>Budgetary for First Resources project</t>
  </si>
  <si>
    <t>QN26-0137-MV-06-JS</t>
  </si>
  <si>
    <t>Wilmar Nabati</t>
  </si>
  <si>
    <t>QN26-0138-CV-06-JS</t>
  </si>
  <si>
    <t>Valmet</t>
  </si>
  <si>
    <t>QN26-0139-MV-06-JS</t>
  </si>
  <si>
    <t>Bintang Engineering</t>
  </si>
  <si>
    <t>Breather Valve+Flame arrester</t>
  </si>
  <si>
    <t>QN26-0140-MV-06-JS</t>
  </si>
  <si>
    <t>Tunggal Idaman Abdi</t>
  </si>
  <si>
    <t>Existing brand is BS&amp;B</t>
  </si>
  <si>
    <t>QN26-0141-MV-06-JS</t>
  </si>
  <si>
    <t>Pamitra</t>
  </si>
  <si>
    <t>Globe and Ball Valve</t>
  </si>
  <si>
    <t>Wait for the price of gland packing globe valve and  delivery time from VW</t>
  </si>
  <si>
    <t>QN26-0142-MV-06-JS</t>
  </si>
  <si>
    <t>Cakrawala Multi Energi</t>
  </si>
  <si>
    <t>JX Filtration</t>
  </si>
  <si>
    <t>Automatic Backwash Filtration System</t>
  </si>
  <si>
    <t>Project to replace existing Manual filtration system</t>
  </si>
  <si>
    <t>Graha Widya Abadi</t>
  </si>
  <si>
    <t>Looking for Principal able to quote Al Bronze material. Balon able to quote AlBr material</t>
  </si>
  <si>
    <t>Wait quotation from Intervalve for Oleofin Fractination project</t>
  </si>
  <si>
    <t>QN26-0143-RE-06-JS</t>
  </si>
  <si>
    <t>Wilmar Kuala Tanjung</t>
  </si>
  <si>
    <t>QN26-0144-MV-06-JS</t>
  </si>
  <si>
    <t>Torabika Eka</t>
  </si>
  <si>
    <t>Coffee manufacturer</t>
  </si>
  <si>
    <t>Existing RD is Rembe</t>
  </si>
  <si>
    <t>QN26-0145-MV-06-JS</t>
  </si>
  <si>
    <t>Dua Satu Energi</t>
  </si>
  <si>
    <t>LTM 1500 series spare</t>
  </si>
  <si>
    <t>Spare parts and unit LTM 1500 series</t>
  </si>
  <si>
    <t>QN26-0146-RE-06-JS</t>
  </si>
  <si>
    <t>RFQ 6000024759</t>
  </si>
  <si>
    <t>Contractor bidding. No update</t>
  </si>
  <si>
    <t>lost</t>
  </si>
  <si>
    <t>Budgetary. Alfa Laval as competitor.</t>
  </si>
  <si>
    <t>Bidd. Indokomas lost. Find out the winner.</t>
  </si>
  <si>
    <t>Bidd. Indokomas lost for this Hempel project. Find out the winner.</t>
  </si>
  <si>
    <t>Hempel project. Winner is Kinden or Taisho</t>
  </si>
  <si>
    <t>Temperature Gauge.  Vendor registration process. Not able to registered.</t>
  </si>
  <si>
    <t>Jul</t>
  </si>
  <si>
    <t>Budgetary. SKS Boiler project</t>
  </si>
  <si>
    <t>No update</t>
  </si>
  <si>
    <t>No update fromToray.</t>
  </si>
  <si>
    <t>Budgetary. Project pending.</t>
  </si>
  <si>
    <t>No update.</t>
  </si>
  <si>
    <t>PT BES area</t>
  </si>
  <si>
    <t>Lost to WIKA</t>
  </si>
  <si>
    <t>Existing is Masoneilan 35K. Cancelled by customer.</t>
  </si>
  <si>
    <t>Waiting quotation from Nacional and AST. Quoted. Looking approval from Toray/end user</t>
  </si>
  <si>
    <t>Tanabe Pharma</t>
  </si>
  <si>
    <t>Aug</t>
  </si>
  <si>
    <t>Order for Airset only</t>
  </si>
  <si>
    <t>Propose SPX brand. Wait CA approval. Tech spec submitted.CA rejected the offered pump.</t>
  </si>
  <si>
    <t>QN26-0147-RE-06-JS</t>
  </si>
  <si>
    <t>Tanjung Awar Awar</t>
  </si>
  <si>
    <t>Spare part gasket</t>
  </si>
  <si>
    <t>JO</t>
  </si>
  <si>
    <t>No update from SPX</t>
  </si>
  <si>
    <t>QN26-0148-MV-06-JS</t>
  </si>
  <si>
    <t>Wahana Prima Sejati</t>
  </si>
  <si>
    <t>Need tagplate photo/serial no</t>
  </si>
  <si>
    <t>QN26-0149-MV-06-JS</t>
  </si>
  <si>
    <t>I/P converter spares</t>
  </si>
  <si>
    <t>QN26-0150-SV-06-JS</t>
  </si>
  <si>
    <t>Mandau Cipta Tenaga Nusantara</t>
  </si>
  <si>
    <t>Safety valve</t>
  </si>
  <si>
    <t>Existing is Consolidated sv.</t>
  </si>
  <si>
    <t>QN26-0151-MV-06-JS</t>
  </si>
  <si>
    <t>PLN Jepara</t>
  </si>
  <si>
    <t xml:space="preserve">Velan </t>
  </si>
  <si>
    <t>Spare parts</t>
  </si>
  <si>
    <t>No quote</t>
  </si>
  <si>
    <t>QN26-0152-MV-06-JS</t>
  </si>
  <si>
    <t>QN26-0153-IN-06-JS</t>
  </si>
  <si>
    <t>QN26-0154-CV-06-JS</t>
  </si>
  <si>
    <t>Visitec</t>
  </si>
  <si>
    <t>Flowserve</t>
  </si>
  <si>
    <t>Valtek spare</t>
  </si>
  <si>
    <t>wait Quality valve quote</t>
  </si>
  <si>
    <t>QN26-0155-MV-06-JS</t>
  </si>
  <si>
    <t>SaipemTripatra</t>
  </si>
  <si>
    <t>Coriolis</t>
  </si>
  <si>
    <t>QN26-0156-MV-06-JS</t>
  </si>
  <si>
    <t>Bintang Mas Karya Nusantara</t>
  </si>
  <si>
    <t>Evoguard</t>
  </si>
  <si>
    <t>Aseptic valve+ESL</t>
  </si>
  <si>
    <t>Dec</t>
  </si>
  <si>
    <t>compete with Alva Laval</t>
  </si>
  <si>
    <t>QN26-0157-MV-06-JS</t>
  </si>
  <si>
    <t>Sept</t>
  </si>
  <si>
    <t>check whether allow to quote partially</t>
  </si>
  <si>
    <t>Sungai Budi ask Ex-stock. No stock.</t>
  </si>
  <si>
    <t>Cancel</t>
  </si>
  <si>
    <t>Budgetary. Cancel by end user</t>
  </si>
  <si>
    <t>Brand offered not accepted.</t>
  </si>
  <si>
    <t>VW existing</t>
  </si>
  <si>
    <t>Improvement from PRV to PCV. On internal SMART process.</t>
  </si>
  <si>
    <t>Received PO</t>
  </si>
  <si>
    <t>won</t>
  </si>
  <si>
    <t>Submit to ARIBA. On going.</t>
  </si>
  <si>
    <t xml:space="preserve">July </t>
  </si>
  <si>
    <t>-</t>
  </si>
  <si>
    <t>Check with Wilmar the possibility to replace with Stravex. Not accepted Stravex</t>
  </si>
  <si>
    <t>Wait for Technical spec. Quoted. Technical not accepted by customer.</t>
  </si>
  <si>
    <t>Delivery cost to high.</t>
  </si>
  <si>
    <t>Submitted to ARIBA. No update.</t>
  </si>
  <si>
    <t>Gasket spare for existing APV PHE. Pending selection from ARIBA</t>
  </si>
  <si>
    <t>Check detail technical info. No quote</t>
  </si>
  <si>
    <t>Temperature Gauge &amp; Pressure Gauge. Still procure safety valve. Lost to Budijaya</t>
  </si>
  <si>
    <t>Budget move to next year as per Medco information</t>
  </si>
  <si>
    <t>Pending</t>
  </si>
  <si>
    <t>No update. Competitor price IDR 40 million</t>
  </si>
  <si>
    <t>Oct</t>
  </si>
  <si>
    <t>Budgetary. No update and handover to DA. Still Technical review.</t>
  </si>
  <si>
    <t>Technical reviewby CA.</t>
  </si>
  <si>
    <t>Checking with QVI. Quoted.</t>
  </si>
  <si>
    <t>Wait for Quotation from Topsafe. Quoted. No update. On Technical spec clarification.</t>
  </si>
  <si>
    <t>Compete with ARI</t>
  </si>
  <si>
    <t>Price matter</t>
  </si>
  <si>
    <t>Masoneilan stock</t>
  </si>
  <si>
    <t>wait quote from Daniel. No quote.</t>
  </si>
  <si>
    <t>No update. Lost to other</t>
  </si>
  <si>
    <t>No update.Balon brand is not accepted.</t>
  </si>
  <si>
    <t>Chandra Asri 1500003756</t>
  </si>
  <si>
    <t>Chandra Asri 6000020207</t>
  </si>
  <si>
    <t>Chandra Asri 6000020745</t>
  </si>
  <si>
    <t>Chandra Asri 1200065746</t>
  </si>
  <si>
    <t>Chandra Asri 1200071290</t>
  </si>
  <si>
    <t>Chandra Asri 6000019461</t>
  </si>
  <si>
    <t>Chandra Asri 6000020832</t>
  </si>
  <si>
    <t>Chandra Asri 6000020361</t>
  </si>
  <si>
    <t>Chandra Asri 6000020431</t>
  </si>
  <si>
    <t>Chandra Asri 6000020433</t>
  </si>
  <si>
    <t>Chandra Asri 6000021914</t>
  </si>
  <si>
    <t>Chandra Asri 6000021333</t>
  </si>
  <si>
    <t>Chandra Asri 6000022151</t>
  </si>
  <si>
    <t>Chandra Asri 6000022193</t>
  </si>
  <si>
    <t>Chandra Asri 6000021545</t>
  </si>
  <si>
    <t xml:space="preserve">Chandra Asri </t>
  </si>
  <si>
    <t>Chandra Asri 6000022111</t>
  </si>
  <si>
    <t>Chandra Asri 6000022487</t>
  </si>
  <si>
    <t>Chandra Asri 6000022695</t>
  </si>
  <si>
    <t>Chandra Asri 6000022626</t>
  </si>
  <si>
    <t>Chandra Asri 6000022662</t>
  </si>
  <si>
    <t>Chandra Asri 6000022109</t>
  </si>
  <si>
    <t>Chandra Asri 6000022666</t>
  </si>
  <si>
    <t>Chandra Asri 6000021794</t>
  </si>
  <si>
    <t>Chandra Asri 1200059945</t>
  </si>
  <si>
    <t>Chandra Asri 6000022113</t>
  </si>
  <si>
    <t>Chandra Asri 6000023789</t>
  </si>
  <si>
    <t>Chandra Asri 6000023730</t>
  </si>
  <si>
    <t>Chandra Asri 6000024759</t>
  </si>
  <si>
    <t>Chandra Asri 6000024908</t>
  </si>
  <si>
    <t>On hold by CA. Quote by RQ from stock.</t>
  </si>
  <si>
    <t xml:space="preserve">Chandra Asri 1200072333 </t>
  </si>
  <si>
    <t>Chandra Asri 6000021923</t>
  </si>
  <si>
    <t>Chandra Asri 6000021907</t>
  </si>
  <si>
    <t>QN26-0158-MV-06-JS</t>
  </si>
  <si>
    <t>Geptronika</t>
  </si>
  <si>
    <t>Replace existing</t>
  </si>
  <si>
    <t>QN26-0159-RE-06-JS</t>
  </si>
  <si>
    <t>Sanitaria Uttama</t>
  </si>
  <si>
    <t>SPX W+</t>
  </si>
  <si>
    <t>Spare part W+ pump</t>
  </si>
  <si>
    <t>QN26-0160-MV-07-JS</t>
  </si>
  <si>
    <t>Karunia Makmur Utama</t>
  </si>
  <si>
    <t>Spare part Daniel</t>
  </si>
  <si>
    <t>Spare part Daniel fittings</t>
  </si>
  <si>
    <t>QN26-0161-RE-07-JS</t>
  </si>
  <si>
    <t>PLN NP (Punagaya)</t>
  </si>
  <si>
    <t>TECO</t>
  </si>
  <si>
    <t>Motor fan</t>
  </si>
  <si>
    <t>TECO motor fan</t>
  </si>
  <si>
    <t>QN26-0162-MV-07-JS</t>
  </si>
  <si>
    <t>(IDR)2</t>
  </si>
  <si>
    <t>(USD)3</t>
  </si>
  <si>
    <t>(SGD)4</t>
  </si>
  <si>
    <t>(EUR)5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</si>
</sst>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IDR]\ #,##0.00"/>
    <numFmt numFmtId="166" formatCode="[$SGD]\ #,##0.00"/>
    <numFmt numFmtId="167" formatCode="[$USD]\ #,##0.00"/>
    <numFmt numFmtId="168" formatCode="_-[$€-2]\ * #,##0.00_-;\-[$€-2]\ * #,##0.00_-;_-[$€-2]\ * &quot;-&quot;??_-;_-@_-"/>
    <numFmt numFmtId="169" formatCode="_-[$IDR]\ * #,##0_-;\-[$IDR]\ * #,##0_-;_-[$IDR]\ * &quot;-&quot;_-;_-@_-"/>
    <numFmt numFmtId="170" formatCode="_-[$€-2]\ * #,##0_-;\-[$€-2]\ * #,##0_-;_-[$€-2]\ * &quot;-&quot;??_-;_-@_-"/>
    <numFmt numFmtId="171" formatCode="[$IDR]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16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right" vertical="center"/>
    </xf>
    <xf numFmtId="4" fontId="0" fillId="0" borderId="0" xfId="1" applyNumberFormat="1" applyFont="1" applyFill="1" applyAlignment="1">
      <alignment horizontal="right"/>
    </xf>
    <xf numFmtId="16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2" applyFont="1" applyFill="1" applyAlignment="1">
      <alignment horizontal="center"/>
    </xf>
    <xf numFmtId="16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43" fontId="0" fillId="0" borderId="0" xfId="3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0" fillId="0" borderId="0" xfId="3" applyNumberFormat="1" applyFont="1" applyAlignment="1">
      <alignment horizontal="center"/>
    </xf>
    <xf numFmtId="15" fontId="0" fillId="0" borderId="0" xfId="0" applyNumberFormat="1" applyAlignment="1">
      <alignment horizontal="center" vertical="center"/>
    </xf>
    <xf numFmtId="166" fontId="2" fillId="0" borderId="0" xfId="0" applyNumberFormat="1" applyFont="1" applyAlignment="1">
      <alignment horizontal="left"/>
    </xf>
    <xf numFmtId="43" fontId="0" fillId="0" borderId="0" xfId="3" applyFont="1" applyFill="1" applyAlignment="1">
      <alignment horizontal="right"/>
    </xf>
    <xf numFmtId="170" fontId="0" fillId="0" borderId="0" xfId="0" applyNumberFormat="1" applyAlignment="1">
      <alignment horizontal="center"/>
    </xf>
    <xf numFmtId="165" fontId="0" fillId="0" borderId="0" xfId="3" applyNumberFormat="1" applyFont="1" applyFill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9" fontId="2" fillId="2" borderId="1" xfId="2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2"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SGD]\ #,##0.00"/>
      <alignment horizontal="center" vertical="bottom" textRotation="0" wrapText="0" indent="0" justifyLastLine="0" shrinkToFit="0" readingOrder="0"/>
    </dxf>
    <dxf>
      <numFmt numFmtId="167" formatCode="[$USD]\ #,##0.00"/>
      <alignment horizontal="center" vertical="bottom" textRotation="0" wrapText="0" indent="0" justifyLastLine="0" shrinkToFit="0" readingOrder="0"/>
    </dxf>
    <dxf>
      <numFmt numFmtId="165" formatCode="[$IDR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6C9AA-F57C-44ED-8CCA-EB21DC06E71D}" name="Table1" displayName="Table1" ref="A1:Z930" totalsRowShown="0" headerRowDxfId="31" dataDxfId="29" headerRowBorderDxfId="30" tableBorderDxfId="28">
  <autoFilter ref="A1:Z930" xr:uid="{5696C9AA-F57C-44ED-8CCA-EB21DC06E71D}"/>
  <tableColumns count="26">
    <tableColumn id="1" xr3:uid="{8AD6FFD7-E6EE-410F-B210-BEC37066510F}" name="No" dataDxfId="27"/>
    <tableColumn id="2" xr3:uid="{565DB3FF-1821-4BB6-83FC-BAC2BF6D3A09}" name="QUOTATION DATE" dataDxfId="26"/>
    <tableColumn id="3" xr3:uid="{221F2629-637F-44EE-8D7D-0C5943B6FBD2}" name="DEP CODE" dataDxfId="25"/>
    <tableColumn id="4" xr3:uid="{EB250E99-EE1C-429F-80CF-CC6A7A78D558}" name="QUOTATION REFERENCE NO" dataDxfId="24"/>
    <tableColumn id="5" xr3:uid="{A22F174E-3D7C-4409-A1DB-1156866A45FF}" name="CUSTOMER"/>
    <tableColumn id="6" xr3:uid="{97DE6C73-01B0-4995-9647-4134247364BA}" name="Customer Bisnis Area"/>
    <tableColumn id="7" xr3:uid="{61282E84-F48A-4E0B-A8B3-0C577AB0A4E4}" name="BRAND" dataDxfId="23"/>
    <tableColumn id="8" xr3:uid="{C494B45C-1043-44C1-A9EC-7C8F23FF4D14}" name="DESCRIPTION_x000a_" dataDxfId="22"/>
    <tableColumn id="9" xr3:uid="{363BCA09-ABFD-4691-BCF1-3BD2966A7FE5}" name="WORK TYPE _x000a_" dataDxfId="21"/>
    <tableColumn id="10" xr3:uid="{58D6C937-7D7A-437C-B264-5F421C74E48D}" name="(IDR)" dataDxfId="20"/>
    <tableColumn id="11" xr3:uid="{5456BFBE-01A4-41C6-AC11-52643C7D4735}" name="(USD)" dataDxfId="19"/>
    <tableColumn id="12" xr3:uid="{F474BE83-C45B-412C-BF10-CE56160A4595}" name="(SGD)" dataDxfId="18"/>
    <tableColumn id="13" xr3:uid="{FFE461DB-E794-4BE8-AEA9-3CB17DC6573E}" name="(EUR)" dataDxfId="17"/>
    <tableColumn id="14" xr3:uid="{CC825A2D-A6A0-40EB-A6D7-B4BF50C4CE56}" name="SGD Est" dataDxfId="16"/>
    <tableColumn id="15" xr3:uid="{B2375614-5748-4373-A279-8F6506CE200A}" name="Margin" dataDxfId="15" dataCellStyle="Percent"/>
    <tableColumn id="16" xr3:uid="{39C6B7D7-7D2A-4507-9EF8-4EC94A207F13}" name="QUOTATION STATUS " dataDxfId="14"/>
    <tableColumn id="17" xr3:uid="{644DF6E2-84E3-4F19-AAE2-C565B4942C6D}" name="PROBABILITY" dataDxfId="13" dataCellStyle="Percent"/>
    <tableColumn id="18" xr3:uid="{934FB37D-1F47-4BE0-A9C6-28396AB85E57}" name="EST PO DATE" dataDxfId="12"/>
    <tableColumn id="19" xr3:uid="{8E8D0E70-CE2A-483E-B31B-3A594EB81BFE}" name="PO RECEIVED DATE" dataDxfId="11"/>
    <tableColumn id="20" xr3:uid="{FB289D90-2162-47F3-9247-4BC9AFC01B1F}" name="PO NUMBER" dataDxfId="10"/>
    <tableColumn id="21" xr3:uid="{E4FE3840-0E57-4C00-91D7-7BD0C7B9E968}" name="(IDR)2" dataDxfId="9"/>
    <tableColumn id="22" xr3:uid="{62156ACB-6F32-4732-B985-FF6340EA8C40}" name="(USD)3" dataDxfId="8"/>
    <tableColumn id="23" xr3:uid="{CA30D5DE-B086-4F32-8F25-1733397100F2}" name="(SGD)4" dataDxfId="7"/>
    <tableColumn id="24" xr3:uid="{3AD0D0C9-59BE-4ED6-AD98-033E95387521}" name="(EUR)5" dataDxfId="6"/>
    <tableColumn id="25" xr3:uid="{E587892A-9FF8-47A0-B07E-3018EF33BDF3}" name="SALESMAN" dataDxfId="5"/>
    <tableColumn id="26" xr3:uid="{31F793ED-EAAD-44FA-A91D-93281FF49704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0"/>
  <sheetViews>
    <sheetView tabSelected="1" zoomScale="70" zoomScaleNormal="70" zoomScalePageLayoutView="60" workbookViewId="0">
      <selection activeCell="C10" sqref="C10"/>
    </sheetView>
  </sheetViews>
  <sheetFormatPr defaultRowHeight="14.4" x14ac:dyDescent="0.3"/>
  <cols>
    <col min="1" max="1" width="8.5546875" style="2"/>
    <col min="2" max="2" width="18.5546875" style="2" customWidth="1"/>
    <col min="3" max="3" width="11.5546875" style="2" customWidth="1"/>
    <col min="4" max="4" width="27" style="2" customWidth="1"/>
    <col min="5" max="6" width="46" customWidth="1"/>
    <col min="7" max="7" width="22.5546875" style="2" bestFit="1" customWidth="1"/>
    <col min="8" max="8" width="57.77734375" style="2" bestFit="1" customWidth="1"/>
    <col min="9" max="9" width="12.21875" style="2" bestFit="1" customWidth="1"/>
    <col min="10" max="10" width="23.21875" style="7" customWidth="1"/>
    <col min="11" max="11" width="15.77734375" style="10" customWidth="1"/>
    <col min="12" max="12" width="13.21875" style="8" customWidth="1"/>
    <col min="13" max="13" width="12.6640625" style="2" customWidth="1"/>
    <col min="14" max="14" width="22" style="17" customWidth="1"/>
    <col min="15" max="15" width="12.5546875" style="22" bestFit="1" customWidth="1"/>
    <col min="16" max="16" width="21" style="2" customWidth="1"/>
    <col min="17" max="17" width="14.109375" style="14" customWidth="1"/>
    <col min="18" max="18" width="17.6640625" style="2" bestFit="1" customWidth="1"/>
    <col min="19" max="19" width="19" style="2" customWidth="1"/>
    <col min="20" max="20" width="23.109375" style="2" customWidth="1"/>
    <col min="21" max="21" width="19.44140625" style="2" customWidth="1"/>
    <col min="22" max="22" width="8.88671875" style="2" customWidth="1"/>
    <col min="23" max="23" width="9.88671875" style="2" customWidth="1"/>
    <col min="24" max="24" width="8.77734375" style="2" customWidth="1"/>
    <col min="25" max="25" width="16.44140625" style="2" bestFit="1" customWidth="1"/>
    <col min="26" max="26" width="44.21875" bestFit="1" customWidth="1"/>
    <col min="30" max="30" width="13.6640625" customWidth="1"/>
    <col min="33" max="33" width="12.6640625" customWidth="1"/>
    <col min="36" max="36" width="16.21875" customWidth="1"/>
  </cols>
  <sheetData>
    <row r="1" spans="1:36" ht="43.2" x14ac:dyDescent="0.3">
      <c r="A1" s="40" t="s">
        <v>0</v>
      </c>
      <c r="B1" s="41" t="s">
        <v>20</v>
      </c>
      <c r="C1" s="41" t="s">
        <v>10</v>
      </c>
      <c r="D1" s="41" t="s">
        <v>2</v>
      </c>
      <c r="E1" s="42" t="s">
        <v>1</v>
      </c>
      <c r="F1" s="43" t="s">
        <v>35</v>
      </c>
      <c r="G1" s="41" t="s">
        <v>19</v>
      </c>
      <c r="H1" s="41" t="s">
        <v>3</v>
      </c>
      <c r="I1" s="41" t="s">
        <v>4</v>
      </c>
      <c r="J1" s="44" t="s">
        <v>22</v>
      </c>
      <c r="K1" s="45" t="s">
        <v>5</v>
      </c>
      <c r="L1" s="46" t="s">
        <v>6</v>
      </c>
      <c r="M1" s="43" t="s">
        <v>7</v>
      </c>
      <c r="N1" s="47" t="s">
        <v>30</v>
      </c>
      <c r="O1" s="48" t="s">
        <v>31</v>
      </c>
      <c r="P1" s="41" t="s">
        <v>9</v>
      </c>
      <c r="Q1" s="49" t="s">
        <v>25</v>
      </c>
      <c r="R1" s="41" t="s">
        <v>26</v>
      </c>
      <c r="S1" s="50" t="s">
        <v>8</v>
      </c>
      <c r="T1" s="50" t="s">
        <v>21</v>
      </c>
      <c r="U1" s="41" t="s">
        <v>647</v>
      </c>
      <c r="V1" s="51" t="s">
        <v>648</v>
      </c>
      <c r="W1" s="52" t="s">
        <v>649</v>
      </c>
      <c r="X1" s="43" t="s">
        <v>650</v>
      </c>
      <c r="Y1" s="43" t="s">
        <v>18</v>
      </c>
      <c r="Z1" s="43" t="s">
        <v>24</v>
      </c>
      <c r="AD1" t="s">
        <v>40</v>
      </c>
      <c r="AG1" t="s">
        <v>41</v>
      </c>
      <c r="AJ1" t="s">
        <v>42</v>
      </c>
    </row>
    <row r="2" spans="1:36" s="1" customFormat="1" x14ac:dyDescent="0.3">
      <c r="A2" s="1">
        <v>1</v>
      </c>
      <c r="B2" s="4">
        <v>46024</v>
      </c>
      <c r="C2" s="1" t="s">
        <v>13</v>
      </c>
      <c r="D2" s="1" t="s">
        <v>43</v>
      </c>
      <c r="E2" t="s">
        <v>44</v>
      </c>
      <c r="F2" s="1" t="s">
        <v>45</v>
      </c>
      <c r="G2" s="1" t="s">
        <v>46</v>
      </c>
      <c r="H2" s="1" t="s">
        <v>47</v>
      </c>
      <c r="I2" s="1" t="s">
        <v>27</v>
      </c>
      <c r="J2" s="29">
        <v>18937708</v>
      </c>
      <c r="K2" s="11"/>
      <c r="L2" s="9"/>
      <c r="N2" s="18" t="e">
        <f>J2/#REF!</f>
        <v>#REF!</v>
      </c>
      <c r="O2" s="23">
        <v>7.0000000000000007E-2</v>
      </c>
      <c r="P2" s="2" t="s">
        <v>38</v>
      </c>
      <c r="Q2" s="22">
        <v>1</v>
      </c>
      <c r="R2" s="1" t="s">
        <v>48</v>
      </c>
      <c r="S2" s="32">
        <v>46024</v>
      </c>
      <c r="T2" s="1" t="s">
        <v>105</v>
      </c>
      <c r="U2" s="29">
        <v>18937708</v>
      </c>
      <c r="Y2" s="2" t="s">
        <v>29</v>
      </c>
      <c r="Z2" s="3" t="s">
        <v>81</v>
      </c>
      <c r="AD2" s="27" t="e">
        <f>SUM(N2:N175)</f>
        <v>#REF!</v>
      </c>
      <c r="AG2" s="28" t="e">
        <f>SUMIF(P2:P175,"WON",N2:N175)</f>
        <v>#REF!</v>
      </c>
      <c r="AJ2" s="28" t="e">
        <f>SUMIF(P2:P175,"Lost",N2:N175)</f>
        <v>#REF!</v>
      </c>
    </row>
    <row r="3" spans="1:36" x14ac:dyDescent="0.3">
      <c r="A3" s="2">
        <v>2</v>
      </c>
      <c r="B3" s="6">
        <v>46028</v>
      </c>
      <c r="C3" s="2" t="s">
        <v>11</v>
      </c>
      <c r="D3" s="2" t="s">
        <v>49</v>
      </c>
      <c r="E3" t="s">
        <v>51</v>
      </c>
      <c r="F3" s="2" t="s">
        <v>37</v>
      </c>
      <c r="G3" s="2" t="s">
        <v>39</v>
      </c>
      <c r="H3" s="2" t="s">
        <v>52</v>
      </c>
      <c r="I3" s="2" t="s">
        <v>27</v>
      </c>
      <c r="J3" s="30">
        <v>179426968</v>
      </c>
      <c r="N3" s="18" t="e">
        <f>J3/#REF!</f>
        <v>#REF!</v>
      </c>
      <c r="O3" s="23">
        <v>0.35</v>
      </c>
      <c r="P3" s="2" t="s">
        <v>197</v>
      </c>
      <c r="Q3" s="14">
        <v>0</v>
      </c>
      <c r="R3" s="2" t="s">
        <v>53</v>
      </c>
      <c r="U3" s="5"/>
      <c r="Y3" s="2" t="s">
        <v>34</v>
      </c>
      <c r="Z3" t="s">
        <v>206</v>
      </c>
    </row>
    <row r="4" spans="1:36" x14ac:dyDescent="0.3">
      <c r="A4" s="1">
        <v>3</v>
      </c>
      <c r="B4" s="4">
        <v>46029</v>
      </c>
      <c r="C4" s="1" t="s">
        <v>14</v>
      </c>
      <c r="D4" s="1" t="s">
        <v>50</v>
      </c>
      <c r="E4" s="16" t="s">
        <v>54</v>
      </c>
      <c r="F4" s="1" t="s">
        <v>36</v>
      </c>
      <c r="G4" s="1" t="s">
        <v>55</v>
      </c>
      <c r="H4" s="1" t="s">
        <v>56</v>
      </c>
      <c r="I4" s="1" t="s">
        <v>27</v>
      </c>
      <c r="J4" s="29">
        <v>57168000</v>
      </c>
      <c r="N4" s="18" t="e">
        <f>J4/#REF!</f>
        <v>#REF!</v>
      </c>
      <c r="O4" s="22">
        <v>0.3</v>
      </c>
      <c r="P4" s="1" t="s">
        <v>28</v>
      </c>
      <c r="Q4" s="22">
        <v>0.25</v>
      </c>
      <c r="R4" s="1" t="s">
        <v>73</v>
      </c>
      <c r="U4" s="5"/>
      <c r="Y4" s="1" t="s">
        <v>32</v>
      </c>
      <c r="Z4" s="3" t="s">
        <v>82</v>
      </c>
    </row>
    <row r="5" spans="1:36" x14ac:dyDescent="0.3">
      <c r="A5" s="2">
        <v>4</v>
      </c>
      <c r="B5" s="6">
        <v>46030</v>
      </c>
      <c r="C5" s="2" t="s">
        <v>14</v>
      </c>
      <c r="D5" s="2" t="s">
        <v>57</v>
      </c>
      <c r="E5" t="s">
        <v>58</v>
      </c>
      <c r="F5" s="2" t="s">
        <v>59</v>
      </c>
      <c r="G5" s="2" t="s">
        <v>60</v>
      </c>
      <c r="H5" s="2" t="s">
        <v>61</v>
      </c>
      <c r="I5" s="2" t="s">
        <v>27</v>
      </c>
      <c r="J5" s="30">
        <f>K5*17000</f>
        <v>421532000</v>
      </c>
      <c r="K5" s="10">
        <v>24796</v>
      </c>
      <c r="N5" s="18" t="e">
        <f>J5/#REF!</f>
        <v>#REF!</v>
      </c>
      <c r="O5" s="23">
        <v>0.25</v>
      </c>
      <c r="P5" s="2" t="s">
        <v>28</v>
      </c>
      <c r="Q5" s="14">
        <v>0.25</v>
      </c>
      <c r="R5" s="2" t="s">
        <v>73</v>
      </c>
      <c r="U5" s="5"/>
      <c r="Y5" s="2" t="s">
        <v>29</v>
      </c>
    </row>
    <row r="6" spans="1:36" x14ac:dyDescent="0.3">
      <c r="A6" s="2">
        <v>5</v>
      </c>
      <c r="B6" s="6">
        <v>46031</v>
      </c>
      <c r="C6" s="2" t="s">
        <v>12</v>
      </c>
      <c r="D6" s="2" t="s">
        <v>62</v>
      </c>
      <c r="E6" t="s">
        <v>63</v>
      </c>
      <c r="F6" s="2" t="s">
        <v>64</v>
      </c>
      <c r="G6" s="2" t="s">
        <v>65</v>
      </c>
      <c r="H6" s="2" t="s">
        <v>17</v>
      </c>
      <c r="I6" s="2" t="s">
        <v>33</v>
      </c>
      <c r="J6" s="30">
        <v>118376637</v>
      </c>
      <c r="N6" s="18" t="e">
        <f>J6/#REF!</f>
        <v>#REF!</v>
      </c>
      <c r="O6" s="23">
        <v>0.25</v>
      </c>
      <c r="P6" s="2" t="s">
        <v>38</v>
      </c>
      <c r="Q6" s="14">
        <v>0.25</v>
      </c>
      <c r="R6" s="2" t="s">
        <v>53</v>
      </c>
      <c r="U6" s="5">
        <v>40000000</v>
      </c>
      <c r="Y6" s="2" t="s">
        <v>66</v>
      </c>
      <c r="Z6" t="s">
        <v>67</v>
      </c>
    </row>
    <row r="7" spans="1:36" x14ac:dyDescent="0.3">
      <c r="A7" s="2">
        <v>6</v>
      </c>
      <c r="B7" s="4">
        <v>46031</v>
      </c>
      <c r="C7" s="1" t="s">
        <v>15</v>
      </c>
      <c r="D7" s="1" t="s">
        <v>68</v>
      </c>
      <c r="E7" t="s">
        <v>69</v>
      </c>
      <c r="F7" s="2" t="s">
        <v>70</v>
      </c>
      <c r="G7" s="1" t="s">
        <v>71</v>
      </c>
      <c r="H7" s="1" t="s">
        <v>72</v>
      </c>
      <c r="I7" s="1" t="s">
        <v>27</v>
      </c>
      <c r="J7" s="29">
        <v>1631404000</v>
      </c>
      <c r="N7" s="18" t="e">
        <f>J7/#REF!</f>
        <v>#REF!</v>
      </c>
      <c r="O7" s="23">
        <v>0.3</v>
      </c>
      <c r="P7" s="2" t="s">
        <v>38</v>
      </c>
      <c r="Q7" s="14">
        <v>1</v>
      </c>
      <c r="R7" s="13" t="s">
        <v>73</v>
      </c>
      <c r="S7" s="13"/>
      <c r="U7" s="29">
        <v>80834000</v>
      </c>
      <c r="Y7" s="2" t="s">
        <v>34</v>
      </c>
      <c r="Z7" t="s">
        <v>460</v>
      </c>
    </row>
    <row r="8" spans="1:36" x14ac:dyDescent="0.3">
      <c r="A8" s="2">
        <v>7</v>
      </c>
      <c r="B8" s="6">
        <v>46035</v>
      </c>
      <c r="C8" s="2" t="s">
        <v>13</v>
      </c>
      <c r="D8" s="2" t="s">
        <v>74</v>
      </c>
      <c r="E8" t="s">
        <v>75</v>
      </c>
      <c r="F8" s="2" t="s">
        <v>36</v>
      </c>
      <c r="G8" s="2" t="s">
        <v>76</v>
      </c>
      <c r="H8" s="2" t="s">
        <v>77</v>
      </c>
      <c r="I8" s="2" t="s">
        <v>27</v>
      </c>
      <c r="J8" s="30">
        <v>15085000</v>
      </c>
      <c r="N8" s="18" t="e">
        <f>J8/#REF!</f>
        <v>#REF!</v>
      </c>
      <c r="O8" s="23">
        <v>0.3</v>
      </c>
      <c r="P8" s="2" t="s">
        <v>197</v>
      </c>
      <c r="Q8" s="14">
        <v>0</v>
      </c>
      <c r="R8" s="2" t="s">
        <v>73</v>
      </c>
      <c r="U8" s="5"/>
      <c r="Y8" s="2" t="s">
        <v>78</v>
      </c>
      <c r="Z8" t="s">
        <v>505</v>
      </c>
    </row>
    <row r="9" spans="1:36" x14ac:dyDescent="0.3">
      <c r="A9" s="2">
        <v>8</v>
      </c>
      <c r="B9" s="6">
        <v>46035</v>
      </c>
      <c r="C9" s="1" t="s">
        <v>13</v>
      </c>
      <c r="D9" s="1" t="s">
        <v>79</v>
      </c>
      <c r="E9" t="s">
        <v>75</v>
      </c>
      <c r="F9" s="2" t="s">
        <v>36</v>
      </c>
      <c r="G9" s="1" t="s">
        <v>76</v>
      </c>
      <c r="H9" s="1" t="s">
        <v>80</v>
      </c>
      <c r="I9" s="1" t="s">
        <v>27</v>
      </c>
      <c r="J9" s="29">
        <v>164821000</v>
      </c>
      <c r="N9" s="18" t="e">
        <f>J9/#REF!</f>
        <v>#REF!</v>
      </c>
      <c r="O9" s="23">
        <v>0.3</v>
      </c>
      <c r="P9" s="2" t="s">
        <v>506</v>
      </c>
      <c r="Q9" s="14">
        <v>0</v>
      </c>
      <c r="R9" s="2" t="s">
        <v>73</v>
      </c>
      <c r="U9" s="5"/>
      <c r="Y9" s="2" t="s">
        <v>78</v>
      </c>
      <c r="Z9" t="s">
        <v>505</v>
      </c>
    </row>
    <row r="10" spans="1:36" x14ac:dyDescent="0.3">
      <c r="A10" s="2">
        <v>9</v>
      </c>
      <c r="B10" s="6">
        <v>46036</v>
      </c>
      <c r="C10" s="1" t="s">
        <v>13</v>
      </c>
      <c r="D10" s="1" t="s">
        <v>85</v>
      </c>
      <c r="E10" t="s">
        <v>83</v>
      </c>
      <c r="F10" s="2" t="s">
        <v>36</v>
      </c>
      <c r="G10" s="2" t="s">
        <v>76</v>
      </c>
      <c r="H10" s="2" t="s">
        <v>80</v>
      </c>
      <c r="I10" s="1" t="s">
        <v>27</v>
      </c>
      <c r="J10" s="30">
        <v>165871000</v>
      </c>
      <c r="N10" s="18" t="e">
        <f>J10/#REF!</f>
        <v>#REF!</v>
      </c>
      <c r="O10" s="23">
        <v>0.3</v>
      </c>
      <c r="P10" s="2" t="s">
        <v>506</v>
      </c>
      <c r="Q10" s="14">
        <v>0</v>
      </c>
      <c r="R10" s="13" t="s">
        <v>73</v>
      </c>
      <c r="S10" s="6"/>
      <c r="U10" s="29"/>
      <c r="Y10" s="2" t="s">
        <v>78</v>
      </c>
      <c r="Z10" t="s">
        <v>505</v>
      </c>
    </row>
    <row r="11" spans="1:36" x14ac:dyDescent="0.3">
      <c r="A11" s="2">
        <v>10</v>
      </c>
      <c r="B11" s="6">
        <v>46041</v>
      </c>
      <c r="C11" s="1" t="s">
        <v>13</v>
      </c>
      <c r="D11" s="1" t="s">
        <v>84</v>
      </c>
      <c r="E11" t="s">
        <v>51</v>
      </c>
      <c r="F11" s="2" t="s">
        <v>37</v>
      </c>
      <c r="G11" s="2" t="s">
        <v>86</v>
      </c>
      <c r="H11" s="2" t="s">
        <v>87</v>
      </c>
      <c r="I11" s="1" t="s">
        <v>27</v>
      </c>
      <c r="J11" s="30">
        <v>10404786</v>
      </c>
      <c r="N11" s="18" t="e">
        <f>J11/#REF!</f>
        <v>#REF!</v>
      </c>
      <c r="O11" s="23">
        <v>0.3</v>
      </c>
      <c r="P11" s="2" t="s">
        <v>38</v>
      </c>
      <c r="Q11" s="14">
        <v>1</v>
      </c>
      <c r="R11" s="2" t="s">
        <v>48</v>
      </c>
      <c r="S11" s="37">
        <v>46036</v>
      </c>
      <c r="T11" s="2" t="s">
        <v>104</v>
      </c>
      <c r="U11" s="5">
        <v>10404786</v>
      </c>
      <c r="Y11" s="2" t="s">
        <v>34</v>
      </c>
      <c r="Z11" t="s">
        <v>81</v>
      </c>
    </row>
    <row r="12" spans="1:36" x14ac:dyDescent="0.3">
      <c r="A12" s="2">
        <v>11</v>
      </c>
      <c r="B12" s="6">
        <v>46041</v>
      </c>
      <c r="C12" s="2" t="s">
        <v>14</v>
      </c>
      <c r="D12" s="2" t="s">
        <v>88</v>
      </c>
      <c r="E12" t="s">
        <v>89</v>
      </c>
      <c r="F12" s="2" t="s">
        <v>64</v>
      </c>
      <c r="G12" s="2" t="s">
        <v>60</v>
      </c>
      <c r="H12" s="2" t="s">
        <v>90</v>
      </c>
      <c r="I12" s="2" t="s">
        <v>27</v>
      </c>
      <c r="J12" s="30">
        <v>825000000</v>
      </c>
      <c r="N12" s="18" t="e">
        <f>J12/#REF!</f>
        <v>#REF!</v>
      </c>
      <c r="O12" s="23">
        <v>0.25</v>
      </c>
      <c r="P12" s="2" t="s">
        <v>197</v>
      </c>
      <c r="Q12" s="14">
        <v>0.5</v>
      </c>
      <c r="R12" s="2" t="s">
        <v>73</v>
      </c>
      <c r="U12" s="29"/>
      <c r="Y12" s="2" t="s">
        <v>34</v>
      </c>
      <c r="Z12" t="s">
        <v>330</v>
      </c>
    </row>
    <row r="13" spans="1:36" x14ac:dyDescent="0.3">
      <c r="A13" s="2">
        <v>12</v>
      </c>
      <c r="B13" s="6">
        <v>46041</v>
      </c>
      <c r="C13" s="2" t="s">
        <v>13</v>
      </c>
      <c r="D13" s="2" t="s">
        <v>91</v>
      </c>
      <c r="E13" t="s">
        <v>92</v>
      </c>
      <c r="F13" s="2" t="s">
        <v>36</v>
      </c>
      <c r="G13" s="2" t="s">
        <v>86</v>
      </c>
      <c r="H13" s="2" t="s">
        <v>93</v>
      </c>
      <c r="I13" s="2" t="s">
        <v>27</v>
      </c>
      <c r="J13" s="30">
        <v>273617000</v>
      </c>
      <c r="N13" s="18" t="e">
        <f>J13/#REF!</f>
        <v>#REF!</v>
      </c>
      <c r="O13" s="23">
        <v>0.35</v>
      </c>
      <c r="P13" s="2" t="s">
        <v>197</v>
      </c>
      <c r="Q13" s="14">
        <v>0</v>
      </c>
      <c r="R13" s="13" t="s">
        <v>53</v>
      </c>
      <c r="U13" s="29"/>
      <c r="Y13" s="2" t="s">
        <v>78</v>
      </c>
      <c r="Z13" t="s">
        <v>198</v>
      </c>
    </row>
    <row r="14" spans="1:36" x14ac:dyDescent="0.3">
      <c r="A14" s="2">
        <v>13</v>
      </c>
      <c r="B14" s="6">
        <v>46044</v>
      </c>
      <c r="C14" s="2" t="s">
        <v>13</v>
      </c>
      <c r="D14" s="2" t="s">
        <v>97</v>
      </c>
      <c r="E14" t="s">
        <v>63</v>
      </c>
      <c r="F14" s="2" t="s">
        <v>64</v>
      </c>
      <c r="G14" s="2" t="s">
        <v>94</v>
      </c>
      <c r="H14" s="2" t="s">
        <v>95</v>
      </c>
      <c r="I14" s="2" t="s">
        <v>33</v>
      </c>
      <c r="J14" s="30">
        <v>419000000</v>
      </c>
      <c r="N14" s="18" t="e">
        <f>J14/#REF!</f>
        <v>#REF!</v>
      </c>
      <c r="O14" s="23">
        <v>0.3</v>
      </c>
      <c r="P14" s="2" t="s">
        <v>38</v>
      </c>
      <c r="Q14" s="14">
        <v>1</v>
      </c>
      <c r="R14" s="13" t="s">
        <v>53</v>
      </c>
      <c r="S14" s="6">
        <v>46121</v>
      </c>
      <c r="T14" s="2" t="s">
        <v>257</v>
      </c>
      <c r="U14" s="5">
        <v>119000000</v>
      </c>
      <c r="Y14" s="2" t="s">
        <v>66</v>
      </c>
      <c r="Z14" t="s">
        <v>67</v>
      </c>
    </row>
    <row r="15" spans="1:36" x14ac:dyDescent="0.3">
      <c r="A15" s="2">
        <v>14</v>
      </c>
      <c r="B15" s="6">
        <v>46045</v>
      </c>
      <c r="C15" s="2" t="s">
        <v>23</v>
      </c>
      <c r="D15" s="2" t="s">
        <v>96</v>
      </c>
      <c r="E15" t="s">
        <v>98</v>
      </c>
      <c r="F15" s="2" t="s">
        <v>64</v>
      </c>
      <c r="G15" s="2" t="s">
        <v>99</v>
      </c>
      <c r="H15" s="2" t="s">
        <v>100</v>
      </c>
      <c r="I15" s="2" t="s">
        <v>27</v>
      </c>
      <c r="J15" s="30">
        <v>31796000</v>
      </c>
      <c r="N15" s="18" t="e">
        <f>J15/#REF!</f>
        <v>#REF!</v>
      </c>
      <c r="O15" s="23">
        <v>0.35</v>
      </c>
      <c r="P15" s="2" t="s">
        <v>38</v>
      </c>
      <c r="Q15" s="14">
        <v>1</v>
      </c>
      <c r="R15" s="13" t="s">
        <v>53</v>
      </c>
      <c r="T15" s="2" t="s">
        <v>283</v>
      </c>
      <c r="U15" s="5">
        <v>31796000</v>
      </c>
      <c r="Y15" s="2" t="s">
        <v>66</v>
      </c>
      <c r="Z15" t="s">
        <v>169</v>
      </c>
    </row>
    <row r="16" spans="1:36" x14ac:dyDescent="0.3">
      <c r="A16" s="2">
        <v>15</v>
      </c>
      <c r="B16" s="6">
        <v>46052</v>
      </c>
      <c r="C16" s="2" t="s">
        <v>13</v>
      </c>
      <c r="D16" s="2" t="s">
        <v>101</v>
      </c>
      <c r="E16" t="s">
        <v>102</v>
      </c>
      <c r="F16" s="2" t="s">
        <v>70</v>
      </c>
      <c r="G16" s="2" t="s">
        <v>76</v>
      </c>
      <c r="H16" s="2" t="s">
        <v>77</v>
      </c>
      <c r="I16" s="2" t="s">
        <v>27</v>
      </c>
      <c r="J16" s="30">
        <v>201434000</v>
      </c>
      <c r="N16" s="18" t="e">
        <f>J16/#REF!</f>
        <v>#REF!</v>
      </c>
      <c r="O16" s="23">
        <v>0.3</v>
      </c>
      <c r="P16" s="2" t="s">
        <v>28</v>
      </c>
      <c r="Q16" s="14">
        <v>0.25</v>
      </c>
      <c r="R16" s="2" t="s">
        <v>523</v>
      </c>
      <c r="S16" s="6"/>
      <c r="U16" s="5"/>
      <c r="Y16" s="2" t="s">
        <v>78</v>
      </c>
      <c r="Z16" t="s">
        <v>199</v>
      </c>
    </row>
    <row r="17" spans="1:26" x14ac:dyDescent="0.3">
      <c r="A17" s="2">
        <v>16</v>
      </c>
      <c r="B17" s="6">
        <v>46055</v>
      </c>
      <c r="C17" s="2" t="s">
        <v>13</v>
      </c>
      <c r="D17" s="2" t="s">
        <v>106</v>
      </c>
      <c r="E17" t="s">
        <v>107</v>
      </c>
      <c r="F17" s="2" t="s">
        <v>108</v>
      </c>
      <c r="G17" s="1" t="s">
        <v>94</v>
      </c>
      <c r="H17" s="1" t="s">
        <v>95</v>
      </c>
      <c r="I17" s="2" t="s">
        <v>27</v>
      </c>
      <c r="J17" s="30">
        <v>73287700</v>
      </c>
      <c r="N17" s="18" t="e">
        <f>J17/#REF!</f>
        <v>#REF!</v>
      </c>
      <c r="O17" s="23">
        <v>0.3</v>
      </c>
      <c r="P17" s="2" t="s">
        <v>197</v>
      </c>
      <c r="Q17" s="14">
        <v>0</v>
      </c>
      <c r="R17" s="2" t="s">
        <v>73</v>
      </c>
      <c r="U17" s="5"/>
      <c r="Y17" s="2" t="s">
        <v>78</v>
      </c>
      <c r="Z17" t="s">
        <v>202</v>
      </c>
    </row>
    <row r="18" spans="1:26" x14ac:dyDescent="0.3">
      <c r="A18" s="2">
        <v>17</v>
      </c>
      <c r="B18" s="6">
        <v>46055</v>
      </c>
      <c r="C18" s="2" t="s">
        <v>13</v>
      </c>
      <c r="D18" s="2" t="s">
        <v>109</v>
      </c>
      <c r="E18" t="s">
        <v>110</v>
      </c>
      <c r="F18" s="2" t="s">
        <v>111</v>
      </c>
      <c r="G18" s="2" t="s">
        <v>76</v>
      </c>
      <c r="H18" s="2" t="s">
        <v>77</v>
      </c>
      <c r="I18" s="2" t="s">
        <v>27</v>
      </c>
      <c r="J18" s="30">
        <v>139711000</v>
      </c>
      <c r="N18" s="18" t="e">
        <f>J18/#REF!</f>
        <v>#REF!</v>
      </c>
      <c r="O18" s="23">
        <v>0.3</v>
      </c>
      <c r="P18" s="2" t="s">
        <v>197</v>
      </c>
      <c r="Q18" s="14">
        <v>0</v>
      </c>
      <c r="R18" s="2" t="s">
        <v>73</v>
      </c>
      <c r="U18" s="5"/>
      <c r="Y18" s="2" t="s">
        <v>78</v>
      </c>
      <c r="Z18" t="s">
        <v>200</v>
      </c>
    </row>
    <row r="19" spans="1:26" x14ac:dyDescent="0.3">
      <c r="A19" s="1">
        <v>18</v>
      </c>
      <c r="B19" s="6">
        <v>46057</v>
      </c>
      <c r="C19" s="1" t="s">
        <v>13</v>
      </c>
      <c r="D19" s="1" t="s">
        <v>112</v>
      </c>
      <c r="E19" t="s">
        <v>113</v>
      </c>
      <c r="F19" s="2" t="s">
        <v>59</v>
      </c>
      <c r="G19" s="1" t="s">
        <v>114</v>
      </c>
      <c r="H19" s="2" t="s">
        <v>115</v>
      </c>
      <c r="I19" s="1" t="s">
        <v>27</v>
      </c>
      <c r="J19" s="30">
        <v>2981115000</v>
      </c>
      <c r="N19" s="18" t="e">
        <f>J19/#REF!</f>
        <v>#REF!</v>
      </c>
      <c r="O19" s="23">
        <v>0.3</v>
      </c>
      <c r="P19" s="2" t="s">
        <v>28</v>
      </c>
      <c r="Q19" s="14">
        <v>0.25</v>
      </c>
      <c r="R19" s="2" t="s">
        <v>73</v>
      </c>
      <c r="U19" s="5"/>
      <c r="Y19" s="2" t="s">
        <v>32</v>
      </c>
      <c r="Z19" t="s">
        <v>103</v>
      </c>
    </row>
    <row r="20" spans="1:26" x14ac:dyDescent="0.3">
      <c r="A20" s="2">
        <v>19</v>
      </c>
      <c r="B20" s="6">
        <v>46058</v>
      </c>
      <c r="C20" s="1" t="s">
        <v>23</v>
      </c>
      <c r="D20" s="1" t="s">
        <v>120</v>
      </c>
      <c r="E20" t="s">
        <v>596</v>
      </c>
      <c r="F20" s="2" t="s">
        <v>122</v>
      </c>
      <c r="G20" s="2" t="s">
        <v>99</v>
      </c>
      <c r="H20" s="2" t="s">
        <v>126</v>
      </c>
      <c r="I20" s="1" t="s">
        <v>27</v>
      </c>
      <c r="J20" s="30">
        <v>22858000</v>
      </c>
      <c r="N20" s="18" t="e">
        <f>J20/#REF!</f>
        <v>#REF!</v>
      </c>
      <c r="O20" s="23">
        <v>0.15</v>
      </c>
      <c r="P20" s="2" t="s">
        <v>38</v>
      </c>
      <c r="Q20" s="14">
        <v>1</v>
      </c>
      <c r="R20" s="13" t="s">
        <v>73</v>
      </c>
      <c r="S20" s="13"/>
      <c r="U20" s="29"/>
      <c r="Y20" s="2" t="s">
        <v>125</v>
      </c>
      <c r="Z20" t="s">
        <v>524</v>
      </c>
    </row>
    <row r="21" spans="1:26" x14ac:dyDescent="0.3">
      <c r="A21" s="2">
        <v>20</v>
      </c>
      <c r="B21" s="6">
        <v>46058</v>
      </c>
      <c r="C21" s="2" t="s">
        <v>23</v>
      </c>
      <c r="D21" s="2" t="s">
        <v>124</v>
      </c>
      <c r="E21" t="s">
        <v>599</v>
      </c>
      <c r="F21" s="2" t="s">
        <v>122</v>
      </c>
      <c r="G21" s="2" t="s">
        <v>99</v>
      </c>
      <c r="H21" s="2" t="s">
        <v>123</v>
      </c>
      <c r="I21" s="2" t="s">
        <v>27</v>
      </c>
      <c r="J21" s="30">
        <v>6358000</v>
      </c>
      <c r="N21" s="18" t="e">
        <f>J21/#REF!</f>
        <v>#REF!</v>
      </c>
      <c r="O21" s="23">
        <v>0.15</v>
      </c>
      <c r="P21" s="2" t="s">
        <v>38</v>
      </c>
      <c r="Q21" s="14">
        <v>1</v>
      </c>
      <c r="R21" s="13" t="s">
        <v>73</v>
      </c>
      <c r="T21" s="2" t="s">
        <v>281</v>
      </c>
      <c r="U21" s="5">
        <v>6358000</v>
      </c>
      <c r="Y21" s="2" t="s">
        <v>125</v>
      </c>
    </row>
    <row r="22" spans="1:26" x14ac:dyDescent="0.3">
      <c r="A22" s="2">
        <v>21</v>
      </c>
      <c r="B22" s="6">
        <v>46058</v>
      </c>
      <c r="C22" s="1" t="s">
        <v>23</v>
      </c>
      <c r="D22" s="1" t="s">
        <v>116</v>
      </c>
      <c r="E22" t="s">
        <v>117</v>
      </c>
      <c r="F22" s="2" t="s">
        <v>36</v>
      </c>
      <c r="G22" s="2" t="s">
        <v>118</v>
      </c>
      <c r="H22" s="2" t="s">
        <v>119</v>
      </c>
      <c r="I22" s="1" t="s">
        <v>27</v>
      </c>
      <c r="J22" s="30">
        <v>480000000</v>
      </c>
      <c r="N22" s="18" t="e">
        <f>J22/#REF!</f>
        <v>#REF!</v>
      </c>
      <c r="O22" s="23">
        <v>0.3</v>
      </c>
      <c r="P22" s="2" t="s">
        <v>28</v>
      </c>
      <c r="Q22" s="14">
        <v>0.25</v>
      </c>
      <c r="R22" s="2" t="s">
        <v>73</v>
      </c>
      <c r="S22" s="6"/>
      <c r="U22" s="5"/>
      <c r="Y22" s="2" t="s">
        <v>32</v>
      </c>
      <c r="Z22" t="s">
        <v>103</v>
      </c>
    </row>
    <row r="23" spans="1:26" x14ac:dyDescent="0.3">
      <c r="A23" s="2">
        <v>22</v>
      </c>
      <c r="B23" s="6">
        <v>46059</v>
      </c>
      <c r="C23" s="1" t="s">
        <v>23</v>
      </c>
      <c r="D23" s="1" t="s">
        <v>135</v>
      </c>
      <c r="E23" s="21" t="s">
        <v>127</v>
      </c>
      <c r="F23" s="1" t="s">
        <v>36</v>
      </c>
      <c r="G23" s="1" t="s">
        <v>128</v>
      </c>
      <c r="H23" s="1" t="s">
        <v>129</v>
      </c>
      <c r="I23" s="1" t="s">
        <v>33</v>
      </c>
      <c r="J23" s="30">
        <v>162935000</v>
      </c>
      <c r="N23" s="18" t="e">
        <f>J23/#REF!</f>
        <v>#REF!</v>
      </c>
      <c r="O23" s="23">
        <v>0.3</v>
      </c>
      <c r="P23" s="2" t="s">
        <v>197</v>
      </c>
      <c r="Q23" s="14">
        <v>0</v>
      </c>
      <c r="R23" s="2" t="s">
        <v>130</v>
      </c>
      <c r="U23" s="5"/>
      <c r="Y23" s="2" t="s">
        <v>78</v>
      </c>
      <c r="Z23" t="s">
        <v>103</v>
      </c>
    </row>
    <row r="24" spans="1:26" x14ac:dyDescent="0.3">
      <c r="A24" s="2">
        <v>23</v>
      </c>
      <c r="B24" s="6">
        <v>46059</v>
      </c>
      <c r="C24" s="2" t="s">
        <v>13</v>
      </c>
      <c r="D24" s="1" t="s">
        <v>131</v>
      </c>
      <c r="E24" t="s">
        <v>132</v>
      </c>
      <c r="F24" s="2" t="s">
        <v>36</v>
      </c>
      <c r="G24" s="2" t="s">
        <v>133</v>
      </c>
      <c r="H24" s="2" t="s">
        <v>134</v>
      </c>
      <c r="I24" s="2" t="s">
        <v>27</v>
      </c>
      <c r="J24" s="30">
        <v>7828612000</v>
      </c>
      <c r="N24" s="18" t="e">
        <f>J24/#REF!</f>
        <v>#REF!</v>
      </c>
      <c r="O24" s="23">
        <v>0.23</v>
      </c>
      <c r="P24" s="2" t="s">
        <v>28</v>
      </c>
      <c r="Q24" s="14">
        <v>0.25</v>
      </c>
      <c r="R24" s="2" t="s">
        <v>130</v>
      </c>
      <c r="U24" s="5"/>
      <c r="Y24" s="2" t="s">
        <v>29</v>
      </c>
      <c r="Z24" t="s">
        <v>103</v>
      </c>
    </row>
    <row r="25" spans="1:26" x14ac:dyDescent="0.3">
      <c r="A25" s="2">
        <v>24</v>
      </c>
      <c r="B25" s="6">
        <v>46063</v>
      </c>
      <c r="C25" s="2" t="s">
        <v>15</v>
      </c>
      <c r="D25" s="2" t="s">
        <v>136</v>
      </c>
      <c r="E25" t="s">
        <v>127</v>
      </c>
      <c r="F25" s="1" t="s">
        <v>36</v>
      </c>
      <c r="G25" s="12" t="s">
        <v>137</v>
      </c>
      <c r="H25" s="2" t="s">
        <v>138</v>
      </c>
      <c r="I25" s="2" t="s">
        <v>33</v>
      </c>
      <c r="J25" s="30">
        <f>M25*20000</f>
        <v>899710000</v>
      </c>
      <c r="M25" s="2">
        <v>44985.5</v>
      </c>
      <c r="N25" s="18" t="e">
        <f>J25/#REF!</f>
        <v>#REF!</v>
      </c>
      <c r="O25" s="23">
        <v>0.1</v>
      </c>
      <c r="P25" s="2" t="s">
        <v>197</v>
      </c>
      <c r="Q25" s="14">
        <v>0.5</v>
      </c>
      <c r="R25" s="13" t="s">
        <v>235</v>
      </c>
      <c r="U25" s="5"/>
      <c r="Y25" s="2" t="s">
        <v>78</v>
      </c>
      <c r="Z25" t="s">
        <v>201</v>
      </c>
    </row>
    <row r="26" spans="1:26" x14ac:dyDescent="0.3">
      <c r="A26" s="2">
        <v>25</v>
      </c>
      <c r="B26" s="6">
        <v>46063</v>
      </c>
      <c r="C26" s="2" t="s">
        <v>15</v>
      </c>
      <c r="D26" s="2" t="s">
        <v>139</v>
      </c>
      <c r="E26" t="s">
        <v>140</v>
      </c>
      <c r="F26" s="1" t="s">
        <v>36</v>
      </c>
      <c r="G26" s="2" t="s">
        <v>141</v>
      </c>
      <c r="H26" s="2" t="s">
        <v>142</v>
      </c>
      <c r="I26" s="2" t="s">
        <v>27</v>
      </c>
      <c r="J26" s="30">
        <v>60072000</v>
      </c>
      <c r="N26" s="18" t="e">
        <f>J26/#REF!</f>
        <v>#REF!</v>
      </c>
      <c r="O26" s="23">
        <v>0.3</v>
      </c>
      <c r="P26" s="2" t="s">
        <v>38</v>
      </c>
      <c r="Q26" s="25">
        <v>0.5</v>
      </c>
      <c r="R26" s="2" t="s">
        <v>73</v>
      </c>
      <c r="U26" s="29"/>
      <c r="Y26" s="2" t="s">
        <v>32</v>
      </c>
    </row>
    <row r="27" spans="1:26" x14ac:dyDescent="0.3">
      <c r="A27" s="2">
        <v>26</v>
      </c>
      <c r="B27" s="6">
        <v>46064</v>
      </c>
      <c r="C27" s="2" t="s">
        <v>13</v>
      </c>
      <c r="D27" s="2" t="s">
        <v>143</v>
      </c>
      <c r="E27" t="s">
        <v>117</v>
      </c>
      <c r="F27" s="1" t="s">
        <v>36</v>
      </c>
      <c r="G27" s="2" t="s">
        <v>144</v>
      </c>
      <c r="H27" s="2" t="s">
        <v>145</v>
      </c>
      <c r="I27" s="2" t="s">
        <v>27</v>
      </c>
      <c r="J27" s="30">
        <v>690000000</v>
      </c>
      <c r="N27" s="18" t="e">
        <f>J27/#REF!</f>
        <v>#REF!</v>
      </c>
      <c r="O27" s="23">
        <v>0.2</v>
      </c>
      <c r="P27" s="2" t="s">
        <v>197</v>
      </c>
      <c r="Q27" s="25">
        <v>0.5</v>
      </c>
      <c r="R27" s="2" t="s">
        <v>73</v>
      </c>
      <c r="U27" s="29"/>
      <c r="Y27" s="2" t="s">
        <v>32</v>
      </c>
      <c r="Z27" t="s">
        <v>103</v>
      </c>
    </row>
    <row r="28" spans="1:26" x14ac:dyDescent="0.3">
      <c r="A28" s="2">
        <v>27</v>
      </c>
      <c r="B28" s="6">
        <v>46064</v>
      </c>
      <c r="C28" s="2" t="s">
        <v>13</v>
      </c>
      <c r="D28" s="1" t="s">
        <v>146</v>
      </c>
      <c r="E28" t="s">
        <v>107</v>
      </c>
      <c r="F28" s="2" t="s">
        <v>108</v>
      </c>
      <c r="G28" s="2" t="s">
        <v>94</v>
      </c>
      <c r="H28" s="2" t="s">
        <v>95</v>
      </c>
      <c r="I28" s="2" t="s">
        <v>27</v>
      </c>
      <c r="J28" s="30">
        <v>39288600</v>
      </c>
      <c r="N28" s="18" t="e">
        <f>J28/#REF!</f>
        <v>#REF!</v>
      </c>
      <c r="O28" s="23">
        <v>0.28000000000000003</v>
      </c>
      <c r="P28" s="2" t="s">
        <v>38</v>
      </c>
      <c r="Q28" s="14">
        <v>1</v>
      </c>
      <c r="R28" s="2" t="s">
        <v>53</v>
      </c>
      <c r="T28" s="2" t="s">
        <v>360</v>
      </c>
      <c r="U28" s="29">
        <v>39288600</v>
      </c>
      <c r="Y28" s="2" t="s">
        <v>78</v>
      </c>
      <c r="Z28" t="s">
        <v>203</v>
      </c>
    </row>
    <row r="29" spans="1:26" x14ac:dyDescent="0.3">
      <c r="A29" s="2">
        <v>28</v>
      </c>
      <c r="B29" s="6">
        <v>46065</v>
      </c>
      <c r="C29" s="2" t="s">
        <v>15</v>
      </c>
      <c r="D29" s="1" t="s">
        <v>147</v>
      </c>
      <c r="E29" t="s">
        <v>148</v>
      </c>
      <c r="F29" s="1" t="s">
        <v>150</v>
      </c>
      <c r="G29" s="2" t="s">
        <v>141</v>
      </c>
      <c r="H29" s="2" t="s">
        <v>149</v>
      </c>
      <c r="I29" s="2" t="s">
        <v>27</v>
      </c>
      <c r="J29" s="30">
        <v>364994000</v>
      </c>
      <c r="N29" s="18" t="e">
        <f>J29/#REF!</f>
        <v>#REF!</v>
      </c>
      <c r="O29" s="23">
        <v>0.3</v>
      </c>
      <c r="P29" s="2" t="s">
        <v>506</v>
      </c>
      <c r="Q29" s="14">
        <v>0</v>
      </c>
      <c r="R29" s="2" t="s">
        <v>73</v>
      </c>
      <c r="U29" s="5"/>
      <c r="Y29" s="2" t="s">
        <v>78</v>
      </c>
      <c r="Z29" t="s">
        <v>507</v>
      </c>
    </row>
    <row r="30" spans="1:26" s="16" customFormat="1" x14ac:dyDescent="0.3">
      <c r="A30" s="1">
        <v>29</v>
      </c>
      <c r="B30" s="4">
        <v>46066</v>
      </c>
      <c r="C30" s="1" t="s">
        <v>11</v>
      </c>
      <c r="D30" s="1" t="s">
        <v>151</v>
      </c>
      <c r="E30" s="16" t="s">
        <v>152</v>
      </c>
      <c r="F30" s="1" t="s">
        <v>36</v>
      </c>
      <c r="G30" s="15" t="s">
        <v>99</v>
      </c>
      <c r="H30" s="1" t="s">
        <v>16</v>
      </c>
      <c r="I30" s="1" t="s">
        <v>27</v>
      </c>
      <c r="J30" s="29">
        <v>708584000</v>
      </c>
      <c r="K30" s="11"/>
      <c r="L30" s="9"/>
      <c r="M30" s="1"/>
      <c r="N30" s="18" t="e">
        <f>J30/#REF!</f>
        <v>#REF!</v>
      </c>
      <c r="O30" s="23">
        <v>0.3</v>
      </c>
      <c r="P30" s="1" t="s">
        <v>28</v>
      </c>
      <c r="Q30" s="22">
        <v>0.25</v>
      </c>
      <c r="R30" s="2" t="s">
        <v>73</v>
      </c>
      <c r="S30" s="2"/>
      <c r="T30" s="2"/>
      <c r="U30" s="5"/>
      <c r="V30" s="2"/>
      <c r="W30" s="2"/>
      <c r="X30" s="2"/>
      <c r="Y30" s="2" t="s">
        <v>29</v>
      </c>
      <c r="Z30"/>
    </row>
    <row r="31" spans="1:26" x14ac:dyDescent="0.3">
      <c r="A31" s="2">
        <v>30</v>
      </c>
      <c r="B31" s="6">
        <v>45335</v>
      </c>
      <c r="C31" s="2" t="s">
        <v>13</v>
      </c>
      <c r="D31" s="2" t="s">
        <v>153</v>
      </c>
      <c r="E31" t="s">
        <v>154</v>
      </c>
      <c r="F31" s="2" t="s">
        <v>36</v>
      </c>
      <c r="G31" s="2" t="s">
        <v>39</v>
      </c>
      <c r="H31" s="2" t="s">
        <v>155</v>
      </c>
      <c r="I31" s="2" t="s">
        <v>33</v>
      </c>
      <c r="J31" s="30">
        <v>123704000</v>
      </c>
      <c r="N31" s="18" t="e">
        <f>J31/#REF!</f>
        <v>#REF!</v>
      </c>
      <c r="O31" s="23">
        <v>0.3</v>
      </c>
      <c r="P31" s="2" t="s">
        <v>197</v>
      </c>
      <c r="Q31" s="14">
        <v>0</v>
      </c>
      <c r="R31" s="2" t="s">
        <v>73</v>
      </c>
      <c r="Y31" s="2" t="s">
        <v>78</v>
      </c>
      <c r="Z31" t="s">
        <v>508</v>
      </c>
    </row>
    <row r="32" spans="1:26" x14ac:dyDescent="0.3">
      <c r="A32" s="2">
        <v>31</v>
      </c>
      <c r="B32" s="6">
        <v>46071</v>
      </c>
      <c r="C32" s="2" t="s">
        <v>13</v>
      </c>
      <c r="D32" s="2" t="s">
        <v>156</v>
      </c>
      <c r="E32" t="s">
        <v>154</v>
      </c>
      <c r="F32" s="2" t="s">
        <v>36</v>
      </c>
      <c r="G32" s="2" t="s">
        <v>114</v>
      </c>
      <c r="H32" s="2" t="s">
        <v>157</v>
      </c>
      <c r="I32" s="2" t="s">
        <v>33</v>
      </c>
      <c r="J32" s="30">
        <v>1299607500</v>
      </c>
      <c r="N32" s="18" t="e">
        <f>J32/#REF!</f>
        <v>#REF!</v>
      </c>
      <c r="O32" s="23">
        <v>0.25</v>
      </c>
      <c r="P32" s="2" t="s">
        <v>197</v>
      </c>
      <c r="Q32" s="14">
        <v>0</v>
      </c>
      <c r="R32" s="2" t="s">
        <v>73</v>
      </c>
      <c r="Y32" s="2" t="s">
        <v>78</v>
      </c>
      <c r="Z32" t="s">
        <v>509</v>
      </c>
    </row>
    <row r="33" spans="1:26" x14ac:dyDescent="0.3">
      <c r="A33" s="2">
        <v>32</v>
      </c>
      <c r="B33" s="6">
        <v>46072</v>
      </c>
      <c r="C33" s="2" t="s">
        <v>13</v>
      </c>
      <c r="D33" s="2" t="s">
        <v>158</v>
      </c>
      <c r="E33" t="s">
        <v>159</v>
      </c>
      <c r="F33" s="2" t="s">
        <v>36</v>
      </c>
      <c r="G33" s="2" t="s">
        <v>160</v>
      </c>
      <c r="H33" s="2" t="s">
        <v>161</v>
      </c>
      <c r="I33" s="2" t="s">
        <v>27</v>
      </c>
      <c r="J33" s="30">
        <v>27413500</v>
      </c>
      <c r="N33" s="18" t="e">
        <f>J33/#REF!</f>
        <v>#REF!</v>
      </c>
      <c r="O33" s="23">
        <v>0.27</v>
      </c>
      <c r="P33" s="2" t="s">
        <v>38</v>
      </c>
      <c r="Q33" s="14">
        <v>1</v>
      </c>
      <c r="R33" s="2" t="s">
        <v>53</v>
      </c>
      <c r="T33" s="2" t="s">
        <v>282</v>
      </c>
      <c r="U33" s="30">
        <v>17811000</v>
      </c>
      <c r="Y33" s="2" t="s">
        <v>66</v>
      </c>
      <c r="Z33" t="s">
        <v>162</v>
      </c>
    </row>
    <row r="34" spans="1:26" x14ac:dyDescent="0.3">
      <c r="A34" s="2">
        <v>33</v>
      </c>
      <c r="B34" s="6">
        <v>46073</v>
      </c>
      <c r="C34" s="2" t="s">
        <v>14</v>
      </c>
      <c r="D34" s="2" t="s">
        <v>163</v>
      </c>
      <c r="E34" t="s">
        <v>164</v>
      </c>
      <c r="F34" s="2" t="s">
        <v>36</v>
      </c>
      <c r="G34" s="2" t="s">
        <v>165</v>
      </c>
      <c r="H34" s="2" t="s">
        <v>166</v>
      </c>
      <c r="I34" s="2" t="s">
        <v>33</v>
      </c>
      <c r="J34" s="30">
        <v>1206910000</v>
      </c>
      <c r="N34" s="18" t="e">
        <f>J34/#REF!</f>
        <v>#REF!</v>
      </c>
      <c r="O34" s="23">
        <v>0.3</v>
      </c>
      <c r="P34" s="2" t="s">
        <v>197</v>
      </c>
      <c r="Q34" s="14">
        <v>0</v>
      </c>
      <c r="R34" s="13" t="s">
        <v>73</v>
      </c>
      <c r="S34" s="6"/>
      <c r="U34" s="7"/>
      <c r="Y34" s="2" t="s">
        <v>78</v>
      </c>
      <c r="Z34" t="s">
        <v>510</v>
      </c>
    </row>
    <row r="35" spans="1:26" x14ac:dyDescent="0.3">
      <c r="A35" s="2">
        <v>34</v>
      </c>
      <c r="B35" s="6">
        <v>46073</v>
      </c>
      <c r="C35" s="2" t="s">
        <v>14</v>
      </c>
      <c r="D35" s="2" t="s">
        <v>167</v>
      </c>
      <c r="E35" t="s">
        <v>164</v>
      </c>
      <c r="F35" s="2" t="s">
        <v>36</v>
      </c>
      <c r="G35" s="2" t="s">
        <v>165</v>
      </c>
      <c r="H35" s="2" t="s">
        <v>168</v>
      </c>
      <c r="I35" s="2" t="s">
        <v>33</v>
      </c>
      <c r="J35" s="30">
        <v>517314000</v>
      </c>
      <c r="N35" s="18" t="e">
        <f>J35/#REF!</f>
        <v>#REF!</v>
      </c>
      <c r="O35" s="23">
        <v>0.3</v>
      </c>
      <c r="P35" s="2" t="s">
        <v>197</v>
      </c>
      <c r="Q35" s="14">
        <v>0</v>
      </c>
      <c r="R35" s="2" t="s">
        <v>73</v>
      </c>
      <c r="Y35" s="2" t="s">
        <v>78</v>
      </c>
      <c r="Z35" t="s">
        <v>510</v>
      </c>
    </row>
    <row r="36" spans="1:26" x14ac:dyDescent="0.3">
      <c r="A36" s="1">
        <v>35</v>
      </c>
      <c r="B36" s="6">
        <v>46076</v>
      </c>
      <c r="C36" s="2" t="s">
        <v>13</v>
      </c>
      <c r="D36" s="2" t="s">
        <v>170</v>
      </c>
      <c r="E36" t="s">
        <v>154</v>
      </c>
      <c r="F36" s="2" t="s">
        <v>36</v>
      </c>
      <c r="G36" s="2" t="s">
        <v>171</v>
      </c>
      <c r="H36" s="2" t="s">
        <v>172</v>
      </c>
      <c r="I36" s="2" t="s">
        <v>33</v>
      </c>
      <c r="J36" s="30">
        <v>353584000</v>
      </c>
      <c r="N36" s="18" t="e">
        <f>J36/#REF!</f>
        <v>#REF!</v>
      </c>
      <c r="O36" s="23">
        <v>0.25</v>
      </c>
      <c r="P36" s="2" t="s">
        <v>197</v>
      </c>
      <c r="Q36" s="14">
        <v>0</v>
      </c>
      <c r="R36" s="2" t="s">
        <v>73</v>
      </c>
      <c r="Y36" s="2" t="s">
        <v>78</v>
      </c>
      <c r="Z36" t="s">
        <v>510</v>
      </c>
    </row>
    <row r="37" spans="1:26" x14ac:dyDescent="0.3">
      <c r="A37" s="2">
        <v>36</v>
      </c>
      <c r="B37" s="6">
        <v>46076</v>
      </c>
      <c r="C37" s="2" t="s">
        <v>23</v>
      </c>
      <c r="D37" s="2" t="s">
        <v>173</v>
      </c>
      <c r="E37" t="s">
        <v>174</v>
      </c>
      <c r="F37" s="2" t="s">
        <v>36</v>
      </c>
      <c r="G37" s="2" t="s">
        <v>128</v>
      </c>
      <c r="H37" s="2" t="s">
        <v>175</v>
      </c>
      <c r="I37" s="2" t="s">
        <v>27</v>
      </c>
      <c r="J37" s="30">
        <v>17320000</v>
      </c>
      <c r="N37" s="18" t="e">
        <f>J37/#REF!</f>
        <v>#REF!</v>
      </c>
      <c r="O37" s="23">
        <v>0.25</v>
      </c>
      <c r="P37" s="2" t="s">
        <v>197</v>
      </c>
      <c r="Q37" s="14">
        <v>0</v>
      </c>
      <c r="R37" s="2" t="s">
        <v>73</v>
      </c>
      <c r="Y37" s="2" t="s">
        <v>78</v>
      </c>
      <c r="Z37" t="s">
        <v>511</v>
      </c>
    </row>
    <row r="38" spans="1:26" x14ac:dyDescent="0.3">
      <c r="A38" s="2">
        <v>37</v>
      </c>
      <c r="B38" s="6">
        <v>46076</v>
      </c>
      <c r="C38" s="2" t="s">
        <v>23</v>
      </c>
      <c r="D38" s="2" t="s">
        <v>176</v>
      </c>
      <c r="E38" t="s">
        <v>177</v>
      </c>
      <c r="F38" s="2" t="s">
        <v>213</v>
      </c>
      <c r="G38" s="2" t="s">
        <v>128</v>
      </c>
      <c r="H38" s="2" t="s">
        <v>178</v>
      </c>
      <c r="I38" s="2" t="s">
        <v>27</v>
      </c>
      <c r="J38" s="30">
        <v>46441000</v>
      </c>
      <c r="N38" s="18" t="e">
        <f>J38/#REF!</f>
        <v>#REF!</v>
      </c>
      <c r="O38" s="23">
        <v>0.25</v>
      </c>
      <c r="P38" s="2" t="s">
        <v>197</v>
      </c>
      <c r="Q38" s="14">
        <v>0</v>
      </c>
      <c r="R38" s="2" t="s">
        <v>512</v>
      </c>
      <c r="Y38" s="2" t="s">
        <v>78</v>
      </c>
      <c r="Z38" t="s">
        <v>581</v>
      </c>
    </row>
    <row r="39" spans="1:26" x14ac:dyDescent="0.3">
      <c r="A39" s="2">
        <v>38</v>
      </c>
      <c r="B39" s="6">
        <v>46079</v>
      </c>
      <c r="C39" s="2" t="s">
        <v>13</v>
      </c>
      <c r="D39" s="2" t="s">
        <v>179</v>
      </c>
      <c r="E39" t="s">
        <v>180</v>
      </c>
      <c r="F39" s="1" t="s">
        <v>181</v>
      </c>
      <c r="G39" s="2" t="s">
        <v>182</v>
      </c>
      <c r="H39" s="2" t="s">
        <v>183</v>
      </c>
      <c r="I39" s="2" t="s">
        <v>27</v>
      </c>
      <c r="J39" s="30">
        <v>527717000</v>
      </c>
      <c r="N39" s="18" t="e">
        <f>J39/#REF!</f>
        <v>#REF!</v>
      </c>
      <c r="O39" s="23">
        <v>0.25</v>
      </c>
      <c r="P39" s="2" t="s">
        <v>197</v>
      </c>
      <c r="Q39" s="14">
        <v>0</v>
      </c>
      <c r="R39" s="2" t="s">
        <v>73</v>
      </c>
      <c r="Y39" s="2" t="s">
        <v>29</v>
      </c>
      <c r="Z39" t="s">
        <v>184</v>
      </c>
    </row>
    <row r="40" spans="1:26" x14ac:dyDescent="0.3">
      <c r="A40" s="2">
        <v>39</v>
      </c>
      <c r="B40" s="6">
        <v>46079</v>
      </c>
      <c r="C40" s="2" t="s">
        <v>13</v>
      </c>
      <c r="D40" s="2" t="s">
        <v>187</v>
      </c>
      <c r="E40" t="s">
        <v>188</v>
      </c>
      <c r="F40" s="2" t="s">
        <v>36</v>
      </c>
      <c r="G40" s="2" t="s">
        <v>76</v>
      </c>
      <c r="H40" s="2" t="s">
        <v>189</v>
      </c>
      <c r="I40" s="2" t="s">
        <v>27</v>
      </c>
      <c r="J40" s="30">
        <v>416307000</v>
      </c>
      <c r="N40" s="18" t="e">
        <f>J40/#REF!</f>
        <v>#REF!</v>
      </c>
      <c r="O40" s="23">
        <v>0.3</v>
      </c>
      <c r="P40" s="2" t="s">
        <v>197</v>
      </c>
      <c r="Q40" s="14">
        <v>0</v>
      </c>
      <c r="R40" s="2" t="s">
        <v>73</v>
      </c>
      <c r="U40" s="30"/>
      <c r="Y40" s="2" t="s">
        <v>78</v>
      </c>
      <c r="Z40" t="s">
        <v>204</v>
      </c>
    </row>
    <row r="41" spans="1:26" x14ac:dyDescent="0.3">
      <c r="A41" s="2">
        <v>40</v>
      </c>
      <c r="B41" s="6">
        <v>46079</v>
      </c>
      <c r="C41" s="2" t="s">
        <v>23</v>
      </c>
      <c r="D41" s="2" t="s">
        <v>185</v>
      </c>
      <c r="E41" t="s">
        <v>63</v>
      </c>
      <c r="F41" s="2" t="s">
        <v>64</v>
      </c>
      <c r="G41" s="2" t="s">
        <v>137</v>
      </c>
      <c r="H41" s="2" t="s">
        <v>138</v>
      </c>
      <c r="I41" s="2" t="s">
        <v>33</v>
      </c>
      <c r="J41" s="30">
        <v>2034020000</v>
      </c>
      <c r="N41" s="18" t="e">
        <f>J41/#REF!</f>
        <v>#REF!</v>
      </c>
      <c r="O41" s="23">
        <v>0.05</v>
      </c>
      <c r="P41" s="2" t="s">
        <v>197</v>
      </c>
      <c r="Q41" s="14">
        <v>0</v>
      </c>
      <c r="R41" s="2" t="s">
        <v>53</v>
      </c>
      <c r="Y41" s="2" t="s">
        <v>66</v>
      </c>
      <c r="Z41" t="s">
        <v>186</v>
      </c>
    </row>
    <row r="42" spans="1:26" x14ac:dyDescent="0.3">
      <c r="A42" s="2">
        <v>41</v>
      </c>
      <c r="B42" s="6">
        <v>46080</v>
      </c>
      <c r="C42" s="2" t="s">
        <v>14</v>
      </c>
      <c r="D42" s="2" t="s">
        <v>190</v>
      </c>
      <c r="E42" t="s">
        <v>191</v>
      </c>
      <c r="F42" s="2" t="s">
        <v>36</v>
      </c>
      <c r="G42" s="2" t="s">
        <v>141</v>
      </c>
      <c r="H42" s="2" t="s">
        <v>192</v>
      </c>
      <c r="I42" s="2" t="s">
        <v>27</v>
      </c>
      <c r="J42" s="30">
        <v>83689000</v>
      </c>
      <c r="N42" s="18" t="e">
        <f>J42/#REF!</f>
        <v>#REF!</v>
      </c>
      <c r="O42" s="23">
        <v>0.2</v>
      </c>
      <c r="P42" s="2" t="s">
        <v>197</v>
      </c>
      <c r="Q42" s="14">
        <v>0</v>
      </c>
      <c r="R42" s="2" t="s">
        <v>73</v>
      </c>
      <c r="U42" s="30"/>
      <c r="Y42" s="2" t="s">
        <v>78</v>
      </c>
      <c r="Z42" t="s">
        <v>205</v>
      </c>
    </row>
    <row r="43" spans="1:26" x14ac:dyDescent="0.3">
      <c r="A43" s="2">
        <v>42</v>
      </c>
      <c r="B43" s="6">
        <v>46080</v>
      </c>
      <c r="C43" s="2" t="s">
        <v>13</v>
      </c>
      <c r="D43" s="2" t="s">
        <v>193</v>
      </c>
      <c r="E43" t="s">
        <v>194</v>
      </c>
      <c r="F43" s="2" t="s">
        <v>195</v>
      </c>
      <c r="G43" s="2" t="s">
        <v>160</v>
      </c>
      <c r="H43" s="2" t="s">
        <v>196</v>
      </c>
      <c r="I43" s="2" t="s">
        <v>27</v>
      </c>
      <c r="J43" s="30">
        <v>16000000</v>
      </c>
      <c r="N43" s="19" t="e">
        <f>J43/#REF!</f>
        <v>#REF!</v>
      </c>
      <c r="O43" s="23">
        <v>0.25</v>
      </c>
      <c r="P43" s="2" t="s">
        <v>197</v>
      </c>
      <c r="Q43" s="14">
        <v>0</v>
      </c>
      <c r="R43" s="2" t="s">
        <v>73</v>
      </c>
      <c r="Y43" s="2" t="s">
        <v>66</v>
      </c>
      <c r="Z43" t="s">
        <v>564</v>
      </c>
    </row>
    <row r="44" spans="1:26" x14ac:dyDescent="0.3">
      <c r="A44" s="2">
        <v>43</v>
      </c>
      <c r="B44" s="6">
        <v>46083</v>
      </c>
      <c r="C44" s="2" t="s">
        <v>11</v>
      </c>
      <c r="D44" s="2" t="s">
        <v>212</v>
      </c>
      <c r="E44" t="s">
        <v>177</v>
      </c>
      <c r="F44" s="2" t="s">
        <v>213</v>
      </c>
      <c r="G44" s="2" t="s">
        <v>210</v>
      </c>
      <c r="H44" s="2" t="s">
        <v>16</v>
      </c>
      <c r="I44" s="2" t="s">
        <v>27</v>
      </c>
      <c r="J44" s="30">
        <v>161322000</v>
      </c>
      <c r="N44" s="19" t="e">
        <f>J44/#REF!</f>
        <v>#REF!</v>
      </c>
      <c r="O44" s="23">
        <v>0.3</v>
      </c>
      <c r="P44" s="2" t="s">
        <v>28</v>
      </c>
      <c r="Q44" s="14">
        <v>0.25</v>
      </c>
      <c r="R44" s="2" t="s">
        <v>512</v>
      </c>
      <c r="Y44" s="2" t="s">
        <v>78</v>
      </c>
      <c r="Z44" t="s">
        <v>513</v>
      </c>
    </row>
    <row r="45" spans="1:26" x14ac:dyDescent="0.3">
      <c r="A45" s="2">
        <v>44</v>
      </c>
      <c r="B45" s="6">
        <v>46084</v>
      </c>
      <c r="C45" s="2" t="s">
        <v>11</v>
      </c>
      <c r="D45" s="2" t="s">
        <v>207</v>
      </c>
      <c r="E45" t="s">
        <v>75</v>
      </c>
      <c r="F45" s="2" t="s">
        <v>36</v>
      </c>
      <c r="G45" s="2" t="s">
        <v>76</v>
      </c>
      <c r="H45" s="2" t="s">
        <v>77</v>
      </c>
      <c r="I45" s="2" t="s">
        <v>27</v>
      </c>
      <c r="J45" s="30">
        <v>0</v>
      </c>
      <c r="N45" s="19" t="e">
        <f>J45/#REF!</f>
        <v>#REF!</v>
      </c>
      <c r="O45" s="23">
        <v>0.3</v>
      </c>
      <c r="P45" s="2" t="s">
        <v>197</v>
      </c>
      <c r="Q45" s="14">
        <v>0.25</v>
      </c>
      <c r="R45" s="2" t="s">
        <v>73</v>
      </c>
      <c r="U45" s="30"/>
      <c r="Y45" s="2" t="s">
        <v>78</v>
      </c>
      <c r="Z45" t="s">
        <v>514</v>
      </c>
    </row>
    <row r="46" spans="1:26" x14ac:dyDescent="0.3">
      <c r="A46" s="2">
        <v>45</v>
      </c>
      <c r="B46" s="6">
        <v>46084</v>
      </c>
      <c r="C46" s="2" t="s">
        <v>11</v>
      </c>
      <c r="D46" s="2" t="s">
        <v>214</v>
      </c>
      <c r="E46" t="s">
        <v>208</v>
      </c>
      <c r="F46" s="2" t="s">
        <v>209</v>
      </c>
      <c r="G46" s="2" t="s">
        <v>210</v>
      </c>
      <c r="H46" s="2" t="s">
        <v>16</v>
      </c>
      <c r="I46" s="2" t="s">
        <v>27</v>
      </c>
      <c r="J46" s="30">
        <v>67449000</v>
      </c>
      <c r="N46" s="18" t="e">
        <f>J46/#REF!</f>
        <v>#REF!</v>
      </c>
      <c r="O46" s="23">
        <v>0.3</v>
      </c>
      <c r="P46" s="2" t="s">
        <v>197</v>
      </c>
      <c r="Q46" s="14">
        <v>0</v>
      </c>
      <c r="R46" s="2" t="s">
        <v>73</v>
      </c>
      <c r="U46" s="30"/>
      <c r="Y46" s="2" t="s">
        <v>34</v>
      </c>
      <c r="Z46" t="s">
        <v>211</v>
      </c>
    </row>
    <row r="47" spans="1:26" x14ac:dyDescent="0.3">
      <c r="A47" s="2">
        <v>46</v>
      </c>
      <c r="B47" s="6">
        <v>46084</v>
      </c>
      <c r="C47" s="2" t="s">
        <v>12</v>
      </c>
      <c r="D47" s="2" t="s">
        <v>215</v>
      </c>
      <c r="E47" t="s">
        <v>177</v>
      </c>
      <c r="F47" s="2" t="s">
        <v>213</v>
      </c>
      <c r="G47" s="2" t="s">
        <v>65</v>
      </c>
      <c r="H47" s="2" t="s">
        <v>17</v>
      </c>
      <c r="I47" s="2" t="s">
        <v>27</v>
      </c>
      <c r="J47" s="30">
        <v>147207000</v>
      </c>
      <c r="N47" s="18" t="e">
        <f>J47/#REF!</f>
        <v>#REF!</v>
      </c>
      <c r="O47" s="23">
        <v>0.3</v>
      </c>
      <c r="P47" s="2" t="s">
        <v>28</v>
      </c>
      <c r="Q47" s="14">
        <v>0.5</v>
      </c>
      <c r="R47" s="2" t="s">
        <v>512</v>
      </c>
      <c r="Y47" s="2" t="s">
        <v>78</v>
      </c>
      <c r="Z47" t="s">
        <v>515</v>
      </c>
    </row>
    <row r="48" spans="1:26" x14ac:dyDescent="0.3">
      <c r="A48" s="2">
        <v>47</v>
      </c>
      <c r="B48" s="6">
        <v>46086</v>
      </c>
      <c r="C48" s="2" t="s">
        <v>12</v>
      </c>
      <c r="D48" s="2" t="s">
        <v>216</v>
      </c>
      <c r="E48" t="s">
        <v>219</v>
      </c>
      <c r="F48" s="2" t="s">
        <v>36</v>
      </c>
      <c r="G48" s="2" t="s">
        <v>217</v>
      </c>
      <c r="H48" s="2" t="s">
        <v>218</v>
      </c>
      <c r="I48" s="2" t="s">
        <v>27</v>
      </c>
      <c r="J48" s="30">
        <v>119087000</v>
      </c>
      <c r="N48" s="18" t="e">
        <f>J48/#REF!</f>
        <v>#REF!</v>
      </c>
      <c r="O48" s="23">
        <v>0.15</v>
      </c>
      <c r="P48" s="2" t="s">
        <v>28</v>
      </c>
      <c r="Q48" s="14">
        <v>0.25</v>
      </c>
      <c r="R48" s="2" t="s">
        <v>73</v>
      </c>
      <c r="Y48" s="2" t="s">
        <v>29</v>
      </c>
      <c r="Z48" t="s">
        <v>103</v>
      </c>
    </row>
    <row r="49" spans="1:26" x14ac:dyDescent="0.3">
      <c r="A49" s="2">
        <v>48</v>
      </c>
      <c r="B49" s="6">
        <v>46087</v>
      </c>
      <c r="C49" s="2" t="s">
        <v>13</v>
      </c>
      <c r="D49" s="2" t="s">
        <v>220</v>
      </c>
      <c r="E49" t="s">
        <v>361</v>
      </c>
      <c r="F49" s="2" t="s">
        <v>36</v>
      </c>
      <c r="G49" s="2" t="s">
        <v>94</v>
      </c>
      <c r="H49" s="2" t="s">
        <v>95</v>
      </c>
      <c r="I49" s="2" t="s">
        <v>27</v>
      </c>
      <c r="J49" s="30">
        <v>59160000</v>
      </c>
      <c r="N49" s="18" t="e">
        <f>J49/#REF!</f>
        <v>#REF!</v>
      </c>
      <c r="O49" s="23">
        <v>0.2</v>
      </c>
      <c r="P49" s="2" t="s">
        <v>38</v>
      </c>
      <c r="Q49" s="14">
        <v>1</v>
      </c>
      <c r="R49" s="2" t="s">
        <v>73</v>
      </c>
      <c r="T49" s="2" t="s">
        <v>288</v>
      </c>
      <c r="U49" s="30">
        <v>57681000</v>
      </c>
      <c r="Y49" s="2" t="s">
        <v>78</v>
      </c>
      <c r="Z49" t="s">
        <v>221</v>
      </c>
    </row>
    <row r="50" spans="1:26" x14ac:dyDescent="0.3">
      <c r="A50" s="2">
        <v>49</v>
      </c>
      <c r="B50" s="6">
        <v>46087</v>
      </c>
      <c r="C50" s="2" t="s">
        <v>15</v>
      </c>
      <c r="D50" s="2" t="s">
        <v>222</v>
      </c>
      <c r="E50" t="s">
        <v>127</v>
      </c>
      <c r="F50" s="2" t="s">
        <v>36</v>
      </c>
      <c r="G50" s="2" t="s">
        <v>137</v>
      </c>
      <c r="H50" s="2" t="s">
        <v>138</v>
      </c>
      <c r="I50" s="2" t="s">
        <v>33</v>
      </c>
      <c r="J50" s="30">
        <f>M50*20000</f>
        <v>584800000</v>
      </c>
      <c r="M50" s="2">
        <v>29240</v>
      </c>
      <c r="N50" s="18" t="e">
        <f>J50/#REF!</f>
        <v>#REF!</v>
      </c>
      <c r="O50" s="23">
        <v>0.05</v>
      </c>
      <c r="P50" s="2" t="s">
        <v>197</v>
      </c>
      <c r="Q50" s="14">
        <v>0</v>
      </c>
      <c r="R50" s="2" t="s">
        <v>73</v>
      </c>
      <c r="Y50" s="2" t="s">
        <v>78</v>
      </c>
      <c r="Z50" t="s">
        <v>223</v>
      </c>
    </row>
    <row r="51" spans="1:26" x14ac:dyDescent="0.3">
      <c r="A51" s="2">
        <v>50</v>
      </c>
      <c r="B51" s="6">
        <v>46087</v>
      </c>
      <c r="C51" s="2" t="s">
        <v>13</v>
      </c>
      <c r="D51" s="2" t="s">
        <v>224</v>
      </c>
      <c r="E51" t="s">
        <v>225</v>
      </c>
      <c r="F51" s="2" t="s">
        <v>36</v>
      </c>
      <c r="G51" s="2" t="s">
        <v>94</v>
      </c>
      <c r="H51" s="2" t="s">
        <v>95</v>
      </c>
      <c r="I51" s="2" t="s">
        <v>27</v>
      </c>
      <c r="J51" s="30">
        <v>108869000</v>
      </c>
      <c r="N51" s="18" t="e">
        <f>J51/#REF!</f>
        <v>#REF!</v>
      </c>
      <c r="O51" s="23">
        <v>0.3</v>
      </c>
      <c r="P51" s="2" t="s">
        <v>565</v>
      </c>
      <c r="Q51" s="14">
        <v>0.25</v>
      </c>
      <c r="R51" s="2" t="s">
        <v>73</v>
      </c>
      <c r="Y51" s="2" t="s">
        <v>66</v>
      </c>
      <c r="Z51" t="s">
        <v>566</v>
      </c>
    </row>
    <row r="52" spans="1:26" x14ac:dyDescent="0.3">
      <c r="A52" s="2">
        <v>51</v>
      </c>
      <c r="B52" s="6">
        <v>46090</v>
      </c>
      <c r="C52" s="2" t="s">
        <v>13</v>
      </c>
      <c r="D52" s="2" t="s">
        <v>226</v>
      </c>
      <c r="E52" t="s">
        <v>75</v>
      </c>
      <c r="F52" s="2" t="s">
        <v>36</v>
      </c>
      <c r="G52" s="2" t="s">
        <v>76</v>
      </c>
      <c r="H52" s="2" t="s">
        <v>77</v>
      </c>
      <c r="I52" s="2" t="s">
        <v>27</v>
      </c>
      <c r="J52" s="30">
        <v>9848000</v>
      </c>
      <c r="N52" s="18" t="e">
        <f>J52/#REF!</f>
        <v>#REF!</v>
      </c>
      <c r="O52" s="23">
        <v>0.3</v>
      </c>
      <c r="P52" s="2" t="s">
        <v>197</v>
      </c>
      <c r="Q52" s="14">
        <v>0</v>
      </c>
      <c r="R52" s="2" t="s">
        <v>73</v>
      </c>
      <c r="Y52" s="2" t="s">
        <v>78</v>
      </c>
      <c r="Z52" t="s">
        <v>514</v>
      </c>
    </row>
    <row r="53" spans="1:26" x14ac:dyDescent="0.3">
      <c r="A53" s="2">
        <v>52</v>
      </c>
      <c r="B53" s="6">
        <v>46094</v>
      </c>
      <c r="C53" s="2" t="s">
        <v>13</v>
      </c>
      <c r="D53" s="2" t="s">
        <v>227</v>
      </c>
      <c r="E53" t="s">
        <v>107</v>
      </c>
      <c r="F53" s="2" t="s">
        <v>108</v>
      </c>
      <c r="G53" s="2" t="s">
        <v>94</v>
      </c>
      <c r="H53" s="2" t="s">
        <v>95</v>
      </c>
      <c r="I53" s="2" t="s">
        <v>27</v>
      </c>
      <c r="J53" s="30">
        <v>54571000</v>
      </c>
      <c r="N53" s="18" t="e">
        <f>J53/#REF!</f>
        <v>#REF!</v>
      </c>
      <c r="O53" s="23">
        <v>0.3</v>
      </c>
      <c r="P53" s="2" t="s">
        <v>38</v>
      </c>
      <c r="Q53" s="14">
        <v>1</v>
      </c>
      <c r="R53" s="2" t="s">
        <v>235</v>
      </c>
      <c r="T53" s="2" t="s">
        <v>280</v>
      </c>
      <c r="U53" s="29">
        <v>46494000</v>
      </c>
      <c r="Y53" s="2" t="s">
        <v>78</v>
      </c>
    </row>
    <row r="54" spans="1:26" x14ac:dyDescent="0.3">
      <c r="A54" s="2">
        <v>53</v>
      </c>
      <c r="B54" s="6">
        <v>46094</v>
      </c>
      <c r="C54" s="2" t="s">
        <v>13</v>
      </c>
      <c r="D54" s="2" t="s">
        <v>228</v>
      </c>
      <c r="E54" t="s">
        <v>600</v>
      </c>
      <c r="F54" s="2" t="s">
        <v>122</v>
      </c>
      <c r="G54" s="2" t="s">
        <v>76</v>
      </c>
      <c r="H54" s="2" t="s">
        <v>229</v>
      </c>
      <c r="I54" s="2" t="s">
        <v>27</v>
      </c>
      <c r="J54" s="30">
        <v>277862000</v>
      </c>
      <c r="N54" s="18" t="e">
        <f>J54/#REF!</f>
        <v>#REF!</v>
      </c>
      <c r="O54" s="23">
        <v>0.3</v>
      </c>
      <c r="P54" s="2" t="s">
        <v>28</v>
      </c>
      <c r="Q54" s="14">
        <v>0.25</v>
      </c>
      <c r="R54" s="2" t="s">
        <v>523</v>
      </c>
      <c r="U54" s="30"/>
      <c r="Y54" s="2" t="s">
        <v>125</v>
      </c>
      <c r="Z54" t="s">
        <v>103</v>
      </c>
    </row>
    <row r="55" spans="1:26" x14ac:dyDescent="0.3">
      <c r="A55" s="2">
        <v>54</v>
      </c>
      <c r="B55" s="6">
        <v>46097</v>
      </c>
      <c r="C55" s="2" t="s">
        <v>13</v>
      </c>
      <c r="D55" s="2" t="s">
        <v>251</v>
      </c>
      <c r="E55" t="s">
        <v>252</v>
      </c>
      <c r="F55" s="2" t="s">
        <v>36</v>
      </c>
      <c r="G55" s="2" t="s">
        <v>94</v>
      </c>
      <c r="H55" s="2" t="s">
        <v>95</v>
      </c>
      <c r="I55" s="2" t="s">
        <v>33</v>
      </c>
      <c r="J55" s="30">
        <v>313378000</v>
      </c>
      <c r="N55" s="18" t="e">
        <f>J55/#REF!</f>
        <v>#REF!</v>
      </c>
      <c r="O55" s="23">
        <v>0.2</v>
      </c>
      <c r="P55" s="2" t="s">
        <v>565</v>
      </c>
      <c r="Q55" s="14">
        <v>0.25</v>
      </c>
      <c r="R55" s="12" t="s">
        <v>574</v>
      </c>
      <c r="U55" s="30"/>
      <c r="Y55" s="2" t="s">
        <v>78</v>
      </c>
      <c r="Z55" t="s">
        <v>516</v>
      </c>
    </row>
    <row r="56" spans="1:26" x14ac:dyDescent="0.3">
      <c r="A56" s="2">
        <v>55</v>
      </c>
      <c r="B56" s="6">
        <v>46097</v>
      </c>
      <c r="C56" s="2" t="s">
        <v>14</v>
      </c>
      <c r="D56" s="2" t="s">
        <v>253</v>
      </c>
      <c r="E56" t="s">
        <v>601</v>
      </c>
      <c r="F56" s="2" t="s">
        <v>122</v>
      </c>
      <c r="G56" s="2" t="s">
        <v>254</v>
      </c>
      <c r="H56" s="2" t="s">
        <v>255</v>
      </c>
      <c r="I56" s="2" t="s">
        <v>27</v>
      </c>
      <c r="J56" s="30">
        <v>120000000</v>
      </c>
      <c r="N56" s="18" t="e">
        <f>J56/#REF!</f>
        <v>#REF!</v>
      </c>
      <c r="O56" s="23">
        <v>0.2</v>
      </c>
      <c r="P56" s="2" t="s">
        <v>38</v>
      </c>
      <c r="Q56" s="14">
        <v>1</v>
      </c>
      <c r="R56" s="2" t="s">
        <v>235</v>
      </c>
      <c r="T56" s="2" t="s">
        <v>358</v>
      </c>
      <c r="U56" s="30">
        <v>114868300</v>
      </c>
      <c r="Y56" s="2" t="s">
        <v>125</v>
      </c>
      <c r="Z56" t="s">
        <v>256</v>
      </c>
    </row>
    <row r="57" spans="1:26" x14ac:dyDescent="0.3">
      <c r="A57" s="2">
        <v>56</v>
      </c>
      <c r="B57" s="6">
        <v>46105</v>
      </c>
      <c r="C57" s="2" t="s">
        <v>13</v>
      </c>
      <c r="D57" s="2" t="s">
        <v>230</v>
      </c>
      <c r="E57" t="s">
        <v>231</v>
      </c>
      <c r="F57" s="2" t="s">
        <v>232</v>
      </c>
      <c r="G57" s="2" t="s">
        <v>233</v>
      </c>
      <c r="H57" s="2" t="s">
        <v>234</v>
      </c>
      <c r="I57" s="2" t="s">
        <v>27</v>
      </c>
      <c r="J57" s="30">
        <f>K57*17100</f>
        <v>46170000</v>
      </c>
      <c r="K57" s="10">
        <v>2700</v>
      </c>
      <c r="N57" s="18"/>
      <c r="O57" s="23"/>
    </row>
    <row r="58" spans="1:26" x14ac:dyDescent="0.3">
      <c r="A58" s="2">
        <v>57</v>
      </c>
      <c r="B58" s="6">
        <v>46105</v>
      </c>
      <c r="C58" s="2" t="s">
        <v>13</v>
      </c>
      <c r="D58" s="2" t="s">
        <v>236</v>
      </c>
      <c r="E58" t="s">
        <v>237</v>
      </c>
      <c r="F58" s="2" t="s">
        <v>64</v>
      </c>
      <c r="G58" s="2" t="s">
        <v>39</v>
      </c>
      <c r="H58" s="2" t="s">
        <v>52</v>
      </c>
      <c r="I58" s="2" t="s">
        <v>27</v>
      </c>
      <c r="J58" s="30">
        <v>222194000</v>
      </c>
      <c r="N58" s="18" t="e">
        <f>J58/#REF!</f>
        <v>#REF!</v>
      </c>
      <c r="O58" s="23">
        <v>0.25</v>
      </c>
      <c r="P58" s="2" t="s">
        <v>197</v>
      </c>
      <c r="Q58" s="14">
        <v>0</v>
      </c>
      <c r="R58" s="2" t="s">
        <v>130</v>
      </c>
      <c r="Y58" s="2" t="s">
        <v>66</v>
      </c>
      <c r="Z58" t="s">
        <v>567</v>
      </c>
    </row>
    <row r="59" spans="1:26" x14ac:dyDescent="0.3">
      <c r="A59" s="2">
        <v>58</v>
      </c>
      <c r="B59" s="6">
        <v>46107</v>
      </c>
      <c r="C59" s="2" t="s">
        <v>13</v>
      </c>
      <c r="D59" s="2" t="s">
        <v>239</v>
      </c>
      <c r="E59" t="s">
        <v>597</v>
      </c>
      <c r="F59" s="2" t="s">
        <v>122</v>
      </c>
      <c r="G59" s="2" t="s">
        <v>76</v>
      </c>
      <c r="H59" s="2" t="s">
        <v>240</v>
      </c>
      <c r="I59" s="2" t="s">
        <v>27</v>
      </c>
      <c r="J59" s="30">
        <v>5183000</v>
      </c>
      <c r="N59" s="18" t="e">
        <f>J59/#REF!</f>
        <v>#REF!</v>
      </c>
      <c r="O59" s="23">
        <v>0.2</v>
      </c>
      <c r="P59" s="2" t="s">
        <v>28</v>
      </c>
      <c r="Q59" s="14">
        <v>0.25</v>
      </c>
      <c r="R59" s="2" t="s">
        <v>130</v>
      </c>
      <c r="U59" s="31"/>
      <c r="Y59" s="2" t="s">
        <v>125</v>
      </c>
      <c r="Z59" t="s">
        <v>517</v>
      </c>
    </row>
    <row r="60" spans="1:26" x14ac:dyDescent="0.3">
      <c r="A60" s="2">
        <v>59</v>
      </c>
      <c r="B60" s="6">
        <v>46108</v>
      </c>
      <c r="C60" s="2" t="s">
        <v>13</v>
      </c>
      <c r="D60" s="2" t="s">
        <v>241</v>
      </c>
      <c r="E60" t="s">
        <v>242</v>
      </c>
      <c r="F60" s="2" t="s">
        <v>36</v>
      </c>
      <c r="G60" s="2" t="s">
        <v>94</v>
      </c>
      <c r="H60" s="2" t="s">
        <v>95</v>
      </c>
      <c r="I60" s="2" t="s">
        <v>27</v>
      </c>
      <c r="J60" s="30">
        <v>184824000</v>
      </c>
      <c r="N60" s="18" t="e">
        <f>J60/#REF!</f>
        <v>#REF!</v>
      </c>
      <c r="O60" s="23">
        <v>0.3</v>
      </c>
      <c r="P60" s="2" t="s">
        <v>28</v>
      </c>
      <c r="Q60" s="14">
        <v>0.25</v>
      </c>
      <c r="R60" s="2" t="s">
        <v>130</v>
      </c>
      <c r="U60" s="30"/>
      <c r="Y60" s="2" t="s">
        <v>29</v>
      </c>
    </row>
    <row r="61" spans="1:26" x14ac:dyDescent="0.3">
      <c r="A61" s="2">
        <v>60</v>
      </c>
      <c r="B61" s="6">
        <v>46108</v>
      </c>
      <c r="C61" s="2" t="s">
        <v>13</v>
      </c>
      <c r="D61" s="2" t="s">
        <v>243</v>
      </c>
      <c r="E61" t="s">
        <v>51</v>
      </c>
      <c r="F61" s="2" t="s">
        <v>244</v>
      </c>
      <c r="G61" s="2" t="s">
        <v>114</v>
      </c>
      <c r="H61" s="2" t="s">
        <v>245</v>
      </c>
      <c r="I61" s="2" t="s">
        <v>27</v>
      </c>
      <c r="J61" s="30">
        <v>93755000</v>
      </c>
      <c r="N61" s="18" t="e">
        <f>J61/#REF!</f>
        <v>#REF!</v>
      </c>
      <c r="O61" s="22">
        <v>0.3</v>
      </c>
      <c r="P61" s="2" t="s">
        <v>565</v>
      </c>
      <c r="Q61" s="14">
        <v>0</v>
      </c>
      <c r="R61" s="12" t="s">
        <v>574</v>
      </c>
      <c r="Y61" s="2" t="s">
        <v>34</v>
      </c>
      <c r="Z61" t="s">
        <v>568</v>
      </c>
    </row>
    <row r="62" spans="1:26" x14ac:dyDescent="0.3">
      <c r="A62" s="2">
        <v>61</v>
      </c>
      <c r="B62" s="6">
        <v>46109</v>
      </c>
      <c r="C62" s="2" t="s">
        <v>13</v>
      </c>
      <c r="D62" s="2" t="s">
        <v>238</v>
      </c>
      <c r="E62" t="s">
        <v>246</v>
      </c>
      <c r="F62" s="2" t="s">
        <v>64</v>
      </c>
      <c r="G62" s="2" t="s">
        <v>86</v>
      </c>
      <c r="H62" s="2" t="s">
        <v>247</v>
      </c>
      <c r="I62" s="2" t="s">
        <v>27</v>
      </c>
      <c r="J62" s="30">
        <v>18784000</v>
      </c>
      <c r="N62" s="18" t="e">
        <f>J62/#REF!</f>
        <v>#REF!</v>
      </c>
      <c r="O62" s="22">
        <v>0.35</v>
      </c>
      <c r="P62" s="2" t="s">
        <v>38</v>
      </c>
      <c r="Q62" s="14">
        <v>1</v>
      </c>
      <c r="R62" s="2" t="s">
        <v>53</v>
      </c>
      <c r="T62" s="2" t="s">
        <v>359</v>
      </c>
      <c r="U62" s="30">
        <v>20865000</v>
      </c>
      <c r="Y62" s="2" t="s">
        <v>66</v>
      </c>
    </row>
    <row r="63" spans="1:26" x14ac:dyDescent="0.3">
      <c r="A63" s="2">
        <v>62</v>
      </c>
      <c r="B63" s="6">
        <v>46112</v>
      </c>
      <c r="C63" s="2" t="s">
        <v>13</v>
      </c>
      <c r="D63" s="2" t="s">
        <v>248</v>
      </c>
      <c r="E63" t="s">
        <v>249</v>
      </c>
      <c r="F63" s="2" t="s">
        <v>122</v>
      </c>
      <c r="G63" s="2" t="s">
        <v>39</v>
      </c>
      <c r="H63" s="2" t="s">
        <v>52</v>
      </c>
      <c r="I63" s="2" t="s">
        <v>27</v>
      </c>
      <c r="J63" s="30">
        <v>139060000</v>
      </c>
      <c r="N63" s="18" t="e">
        <f>J63/#REF!</f>
        <v>#REF!</v>
      </c>
      <c r="O63" s="23">
        <v>0.25</v>
      </c>
      <c r="P63" s="2" t="s">
        <v>197</v>
      </c>
      <c r="Q63" s="14">
        <v>0</v>
      </c>
      <c r="R63" s="2" t="s">
        <v>130</v>
      </c>
      <c r="Y63" s="2" t="s">
        <v>78</v>
      </c>
      <c r="Z63" t="s">
        <v>517</v>
      </c>
    </row>
    <row r="64" spans="1:26" x14ac:dyDescent="0.3">
      <c r="A64" s="2">
        <v>63</v>
      </c>
      <c r="B64" s="6">
        <v>46112</v>
      </c>
      <c r="C64" s="2" t="s">
        <v>13</v>
      </c>
      <c r="D64" s="2" t="s">
        <v>250</v>
      </c>
      <c r="E64" s="38" t="s">
        <v>188</v>
      </c>
      <c r="F64" s="2" t="s">
        <v>36</v>
      </c>
      <c r="G64" s="2" t="s">
        <v>76</v>
      </c>
      <c r="H64" s="2" t="s">
        <v>189</v>
      </c>
      <c r="I64" s="2" t="s">
        <v>33</v>
      </c>
      <c r="J64" s="30">
        <v>275957000</v>
      </c>
      <c r="N64" s="18" t="e">
        <f>J64/#REF!</f>
        <v>#REF!</v>
      </c>
      <c r="O64" s="23">
        <v>0.25</v>
      </c>
      <c r="P64" s="2" t="s">
        <v>197</v>
      </c>
      <c r="Q64" s="14">
        <v>0</v>
      </c>
      <c r="R64" s="2" t="s">
        <v>130</v>
      </c>
      <c r="Y64" s="2" t="s">
        <v>78</v>
      </c>
      <c r="Z64" t="s">
        <v>517</v>
      </c>
    </row>
    <row r="65" spans="1:26" x14ac:dyDescent="0.3">
      <c r="A65" s="2">
        <v>64</v>
      </c>
      <c r="B65" s="6">
        <v>46119</v>
      </c>
      <c r="C65" s="2" t="s">
        <v>13</v>
      </c>
      <c r="D65" s="2" t="s">
        <v>258</v>
      </c>
      <c r="E65" t="s">
        <v>159</v>
      </c>
      <c r="F65" s="2" t="s">
        <v>36</v>
      </c>
      <c r="G65" s="2" t="s">
        <v>86</v>
      </c>
      <c r="H65" s="2" t="s">
        <v>259</v>
      </c>
      <c r="I65" s="2" t="s">
        <v>27</v>
      </c>
      <c r="J65" s="30">
        <v>108288000</v>
      </c>
      <c r="N65" s="18" t="e">
        <f>J65/#REF!</f>
        <v>#REF!</v>
      </c>
      <c r="O65" s="23">
        <v>0.25</v>
      </c>
      <c r="P65" s="2" t="s">
        <v>38</v>
      </c>
      <c r="Q65" s="14">
        <v>1</v>
      </c>
      <c r="R65" s="2" t="s">
        <v>73</v>
      </c>
      <c r="T65" s="2" t="s">
        <v>260</v>
      </c>
      <c r="U65" s="30">
        <v>108288000</v>
      </c>
      <c r="Y65" s="2" t="s">
        <v>66</v>
      </c>
    </row>
    <row r="66" spans="1:26" x14ac:dyDescent="0.3">
      <c r="A66" s="2">
        <v>65</v>
      </c>
      <c r="B66" s="6">
        <v>46119</v>
      </c>
      <c r="C66" s="2" t="s">
        <v>11</v>
      </c>
      <c r="D66" s="2" t="s">
        <v>261</v>
      </c>
      <c r="E66" t="s">
        <v>357</v>
      </c>
      <c r="F66" s="2" t="s">
        <v>36</v>
      </c>
      <c r="G66" s="2" t="s">
        <v>262</v>
      </c>
      <c r="H66" s="2" t="s">
        <v>16</v>
      </c>
      <c r="I66" s="2" t="s">
        <v>33</v>
      </c>
      <c r="J66" s="30">
        <v>941676000</v>
      </c>
      <c r="N66" s="18" t="e">
        <f>J66/#REF!</f>
        <v>#REF!</v>
      </c>
      <c r="O66" s="22">
        <v>0.3</v>
      </c>
      <c r="P66" s="2" t="s">
        <v>28</v>
      </c>
      <c r="Q66" s="14">
        <v>0.25</v>
      </c>
      <c r="R66" s="2" t="s">
        <v>263</v>
      </c>
      <c r="Y66" s="2" t="s">
        <v>29</v>
      </c>
      <c r="Z66" t="s">
        <v>356</v>
      </c>
    </row>
    <row r="67" spans="1:26" x14ac:dyDescent="0.3">
      <c r="A67" s="2">
        <v>66</v>
      </c>
      <c r="B67" s="6">
        <v>46119</v>
      </c>
      <c r="C67" s="2" t="s">
        <v>13</v>
      </c>
      <c r="D67" s="2" t="s">
        <v>264</v>
      </c>
      <c r="E67" t="s">
        <v>265</v>
      </c>
      <c r="F67" s="2" t="s">
        <v>36</v>
      </c>
      <c r="G67" s="2" t="s">
        <v>76</v>
      </c>
      <c r="H67" s="2" t="s">
        <v>189</v>
      </c>
      <c r="I67" s="2" t="s">
        <v>27</v>
      </c>
      <c r="J67" s="30">
        <v>116432000</v>
      </c>
      <c r="N67" s="18" t="e">
        <f>J67/#REF!</f>
        <v>#REF!</v>
      </c>
      <c r="O67" s="22">
        <v>0.2</v>
      </c>
      <c r="P67" s="2" t="s">
        <v>583</v>
      </c>
      <c r="Q67" s="14">
        <v>0.25</v>
      </c>
      <c r="R67" s="39">
        <v>46388</v>
      </c>
      <c r="Y67" s="2" t="s">
        <v>78</v>
      </c>
      <c r="Z67" t="s">
        <v>582</v>
      </c>
    </row>
    <row r="68" spans="1:26" x14ac:dyDescent="0.3">
      <c r="A68" s="2">
        <v>67</v>
      </c>
      <c r="B68" s="6">
        <v>46119</v>
      </c>
      <c r="C68" s="2" t="s">
        <v>12</v>
      </c>
      <c r="D68" s="2" t="s">
        <v>266</v>
      </c>
      <c r="E68" t="s">
        <v>267</v>
      </c>
      <c r="F68" s="2" t="s">
        <v>36</v>
      </c>
      <c r="G68" s="2" t="s">
        <v>217</v>
      </c>
      <c r="H68" s="2" t="s">
        <v>268</v>
      </c>
      <c r="I68" s="2" t="s">
        <v>27</v>
      </c>
      <c r="J68" s="30">
        <v>120964000</v>
      </c>
      <c r="N68" s="18" t="e">
        <f>J68/#REF!</f>
        <v>#REF!</v>
      </c>
      <c r="O68" s="22">
        <v>0.15</v>
      </c>
      <c r="P68" s="2" t="s">
        <v>38</v>
      </c>
      <c r="Q68" s="14">
        <v>1</v>
      </c>
      <c r="R68" s="2" t="s">
        <v>73</v>
      </c>
      <c r="U68" s="30">
        <v>120964000</v>
      </c>
      <c r="Y68" s="2" t="s">
        <v>29</v>
      </c>
    </row>
    <row r="69" spans="1:26" x14ac:dyDescent="0.3">
      <c r="A69" s="2">
        <v>68</v>
      </c>
      <c r="B69" s="6">
        <v>46121</v>
      </c>
      <c r="C69" s="2" t="s">
        <v>13</v>
      </c>
      <c r="D69" s="2" t="s">
        <v>269</v>
      </c>
      <c r="E69" t="s">
        <v>270</v>
      </c>
      <c r="F69" s="2" t="s">
        <v>36</v>
      </c>
      <c r="G69" s="2" t="s">
        <v>94</v>
      </c>
      <c r="H69" s="2" t="s">
        <v>271</v>
      </c>
      <c r="I69" s="2" t="s">
        <v>27</v>
      </c>
      <c r="J69" s="30">
        <v>391402000</v>
      </c>
      <c r="N69" s="18" t="e">
        <f>J69/#REF!</f>
        <v>#REF!</v>
      </c>
      <c r="O69" s="22">
        <v>0.3</v>
      </c>
      <c r="P69" s="2" t="s">
        <v>28</v>
      </c>
      <c r="Q69" s="14">
        <v>0.25</v>
      </c>
      <c r="R69" s="2" t="s">
        <v>130</v>
      </c>
      <c r="Y69" s="2" t="s">
        <v>34</v>
      </c>
      <c r="Z69" t="s">
        <v>517</v>
      </c>
    </row>
    <row r="70" spans="1:26" x14ac:dyDescent="0.3">
      <c r="A70" s="2">
        <v>69</v>
      </c>
      <c r="B70" s="6">
        <v>46122</v>
      </c>
      <c r="C70" s="2" t="s">
        <v>13</v>
      </c>
      <c r="D70" s="2" t="s">
        <v>272</v>
      </c>
      <c r="E70" t="s">
        <v>598</v>
      </c>
      <c r="F70" s="2" t="s">
        <v>122</v>
      </c>
      <c r="G70" s="2" t="s">
        <v>273</v>
      </c>
      <c r="H70" s="2" t="s">
        <v>274</v>
      </c>
      <c r="I70" s="2" t="s">
        <v>27</v>
      </c>
      <c r="J70" s="30">
        <v>121625000</v>
      </c>
      <c r="N70" s="18" t="e">
        <f>J70/#REF!</f>
        <v>#REF!</v>
      </c>
      <c r="O70" s="22">
        <v>0.2</v>
      </c>
      <c r="P70" s="2" t="s">
        <v>28</v>
      </c>
      <c r="Q70" s="14">
        <v>0.25</v>
      </c>
      <c r="R70" s="2" t="s">
        <v>523</v>
      </c>
      <c r="U70" s="30"/>
      <c r="Y70" s="2" t="s">
        <v>125</v>
      </c>
      <c r="Z70" t="s">
        <v>517</v>
      </c>
    </row>
    <row r="71" spans="1:26" x14ac:dyDescent="0.3">
      <c r="A71" s="2">
        <v>70</v>
      </c>
      <c r="B71" s="6">
        <v>46122</v>
      </c>
      <c r="C71" s="2" t="s">
        <v>13</v>
      </c>
      <c r="D71" s="2" t="s">
        <v>275</v>
      </c>
      <c r="E71" t="s">
        <v>276</v>
      </c>
      <c r="F71" s="2" t="s">
        <v>277</v>
      </c>
      <c r="G71" s="2" t="s">
        <v>278</v>
      </c>
      <c r="H71" s="2" t="s">
        <v>279</v>
      </c>
      <c r="I71" s="2" t="s">
        <v>27</v>
      </c>
      <c r="J71" s="30">
        <v>213107000</v>
      </c>
      <c r="N71" s="18" t="e">
        <f>J71/#REF!</f>
        <v>#REF!</v>
      </c>
      <c r="O71" s="23">
        <v>0.3</v>
      </c>
      <c r="P71" s="2" t="s">
        <v>197</v>
      </c>
      <c r="Q71" s="14">
        <v>0</v>
      </c>
      <c r="R71" s="2" t="s">
        <v>73</v>
      </c>
      <c r="Y71" s="2" t="s">
        <v>78</v>
      </c>
      <c r="Z71" t="s">
        <v>518</v>
      </c>
    </row>
    <row r="72" spans="1:26" x14ac:dyDescent="0.3">
      <c r="A72" s="2">
        <v>71</v>
      </c>
      <c r="B72" s="6">
        <v>46126</v>
      </c>
      <c r="C72" s="2" t="s">
        <v>15</v>
      </c>
      <c r="D72" s="2" t="s">
        <v>284</v>
      </c>
      <c r="E72" t="s">
        <v>285</v>
      </c>
      <c r="F72" s="2" t="s">
        <v>36</v>
      </c>
      <c r="G72" s="2" t="s">
        <v>286</v>
      </c>
      <c r="H72" s="2" t="s">
        <v>287</v>
      </c>
      <c r="I72" s="2" t="s">
        <v>27</v>
      </c>
      <c r="J72" s="30">
        <v>835952000</v>
      </c>
      <c r="N72" s="18" t="e">
        <f>J72/#REF!</f>
        <v>#REF!</v>
      </c>
      <c r="O72" s="23">
        <v>0.25</v>
      </c>
      <c r="P72" s="2" t="s">
        <v>28</v>
      </c>
      <c r="Q72" s="14">
        <v>0.5</v>
      </c>
      <c r="R72" s="2" t="s">
        <v>512</v>
      </c>
      <c r="U72" s="30"/>
      <c r="Y72" s="2" t="s">
        <v>529</v>
      </c>
      <c r="Z72" t="s">
        <v>517</v>
      </c>
    </row>
    <row r="73" spans="1:26" x14ac:dyDescent="0.3">
      <c r="A73" s="2">
        <v>72</v>
      </c>
      <c r="B73" s="6">
        <v>46126</v>
      </c>
      <c r="C73" s="2" t="s">
        <v>11</v>
      </c>
      <c r="D73" s="2" t="s">
        <v>289</v>
      </c>
      <c r="E73" t="s">
        <v>290</v>
      </c>
      <c r="F73" s="2" t="s">
        <v>64</v>
      </c>
      <c r="G73" s="2" t="s">
        <v>210</v>
      </c>
      <c r="H73" s="2" t="s">
        <v>16</v>
      </c>
      <c r="I73" s="2" t="s">
        <v>27</v>
      </c>
      <c r="J73" s="30">
        <v>56766000</v>
      </c>
      <c r="N73" s="18" t="e">
        <f>J73/#REF!</f>
        <v>#REF!</v>
      </c>
      <c r="O73" s="22">
        <v>0.25</v>
      </c>
      <c r="P73" s="2" t="s">
        <v>28</v>
      </c>
      <c r="Q73" s="14">
        <v>0.25</v>
      </c>
      <c r="R73" s="2" t="s">
        <v>130</v>
      </c>
      <c r="U73" s="26"/>
      <c r="Y73" s="2" t="s">
        <v>66</v>
      </c>
      <c r="Z73" t="s">
        <v>569</v>
      </c>
    </row>
    <row r="74" spans="1:26" x14ac:dyDescent="0.3">
      <c r="A74" s="2">
        <v>73</v>
      </c>
      <c r="B74" s="6">
        <v>46126</v>
      </c>
      <c r="C74" s="2" t="s">
        <v>291</v>
      </c>
      <c r="D74" s="2" t="s">
        <v>292</v>
      </c>
      <c r="E74" t="s">
        <v>293</v>
      </c>
      <c r="F74" s="2" t="s">
        <v>181</v>
      </c>
      <c r="G74" s="2" t="s">
        <v>76</v>
      </c>
      <c r="H74" s="2" t="s">
        <v>294</v>
      </c>
      <c r="I74" s="2" t="s">
        <v>27</v>
      </c>
      <c r="J74" s="30">
        <v>43026000</v>
      </c>
      <c r="N74" s="18" t="e">
        <f>J74/#REF!</f>
        <v>#REF!</v>
      </c>
      <c r="O74" s="22">
        <v>0.25</v>
      </c>
      <c r="P74" s="2" t="s">
        <v>38</v>
      </c>
      <c r="Q74" s="14">
        <v>1</v>
      </c>
      <c r="R74" s="2" t="s">
        <v>73</v>
      </c>
      <c r="U74" s="30"/>
      <c r="Y74" s="2" t="s">
        <v>34</v>
      </c>
      <c r="Z74" t="s">
        <v>570</v>
      </c>
    </row>
    <row r="75" spans="1:26" x14ac:dyDescent="0.3">
      <c r="A75" s="2">
        <v>74</v>
      </c>
      <c r="B75" s="6">
        <v>46126</v>
      </c>
      <c r="C75" s="2" t="s">
        <v>23</v>
      </c>
      <c r="D75" s="2" t="s">
        <v>295</v>
      </c>
      <c r="E75" t="s">
        <v>602</v>
      </c>
      <c r="F75" s="2" t="s">
        <v>122</v>
      </c>
      <c r="G75" s="2" t="s">
        <v>296</v>
      </c>
      <c r="H75" s="2" t="s">
        <v>297</v>
      </c>
      <c r="I75" s="2" t="s">
        <v>27</v>
      </c>
      <c r="J75" s="30">
        <v>154555000</v>
      </c>
      <c r="N75" s="18" t="e">
        <f>J75/#REF!</f>
        <v>#REF!</v>
      </c>
      <c r="O75" s="22">
        <v>0.25</v>
      </c>
      <c r="P75" s="2" t="s">
        <v>28</v>
      </c>
      <c r="Q75" s="14">
        <v>0.5</v>
      </c>
      <c r="R75" s="2" t="s">
        <v>523</v>
      </c>
      <c r="U75" s="30"/>
      <c r="Y75" s="2" t="s">
        <v>125</v>
      </c>
      <c r="Z75" t="s">
        <v>517</v>
      </c>
    </row>
    <row r="76" spans="1:26" x14ac:dyDescent="0.3">
      <c r="A76" s="2">
        <v>75</v>
      </c>
      <c r="B76" s="6">
        <v>46126</v>
      </c>
      <c r="C76" s="2" t="s">
        <v>291</v>
      </c>
      <c r="D76" s="2" t="s">
        <v>298</v>
      </c>
      <c r="E76" t="s">
        <v>603</v>
      </c>
      <c r="F76" s="2" t="s">
        <v>122</v>
      </c>
      <c r="G76" s="2" t="s">
        <v>296</v>
      </c>
      <c r="H76" s="2" t="s">
        <v>297</v>
      </c>
      <c r="I76" s="2" t="s">
        <v>27</v>
      </c>
      <c r="J76" s="30">
        <v>364188000</v>
      </c>
      <c r="N76" s="18" t="e">
        <f>J76/#REF!</f>
        <v>#REF!</v>
      </c>
      <c r="O76" s="22">
        <v>0.25</v>
      </c>
      <c r="P76" s="2" t="s">
        <v>197</v>
      </c>
      <c r="Q76" s="14">
        <v>0</v>
      </c>
      <c r="R76" s="2" t="s">
        <v>523</v>
      </c>
      <c r="U76" s="26"/>
      <c r="Y76" s="2" t="s">
        <v>125</v>
      </c>
      <c r="Z76" t="s">
        <v>594</v>
      </c>
    </row>
    <row r="77" spans="1:26" x14ac:dyDescent="0.3">
      <c r="A77" s="2">
        <v>76</v>
      </c>
      <c r="B77" s="6">
        <v>46127</v>
      </c>
      <c r="C77" s="2" t="s">
        <v>23</v>
      </c>
      <c r="D77" s="2" t="s">
        <v>299</v>
      </c>
      <c r="E77" t="s">
        <v>604</v>
      </c>
      <c r="F77" s="2" t="s">
        <v>122</v>
      </c>
      <c r="G77" s="2" t="s">
        <v>296</v>
      </c>
      <c r="H77" s="2" t="s">
        <v>297</v>
      </c>
      <c r="I77" s="2" t="s">
        <v>27</v>
      </c>
      <c r="J77" s="30">
        <v>36676650</v>
      </c>
      <c r="N77" s="18" t="e">
        <f>J77/#REF!</f>
        <v>#REF!</v>
      </c>
      <c r="O77" s="22">
        <v>0.2</v>
      </c>
      <c r="P77" s="2" t="s">
        <v>38</v>
      </c>
      <c r="Q77" s="14">
        <v>1</v>
      </c>
      <c r="R77" s="2" t="s">
        <v>73</v>
      </c>
      <c r="U77" s="26">
        <v>36676650</v>
      </c>
      <c r="Y77" s="2" t="s">
        <v>125</v>
      </c>
    </row>
    <row r="78" spans="1:26" x14ac:dyDescent="0.3">
      <c r="A78" s="2">
        <v>77</v>
      </c>
      <c r="B78" s="6">
        <v>46127</v>
      </c>
      <c r="C78" s="2" t="s">
        <v>13</v>
      </c>
      <c r="D78" s="2" t="s">
        <v>300</v>
      </c>
      <c r="E78" t="s">
        <v>188</v>
      </c>
      <c r="F78" s="2" t="s">
        <v>36</v>
      </c>
      <c r="G78" s="2" t="s">
        <v>76</v>
      </c>
      <c r="H78" s="2" t="s">
        <v>301</v>
      </c>
      <c r="I78" s="2" t="s">
        <v>27</v>
      </c>
      <c r="J78" s="30">
        <v>259067000</v>
      </c>
      <c r="N78" s="18" t="e">
        <f>J78/#REF!</f>
        <v>#REF!</v>
      </c>
      <c r="O78" s="22">
        <v>0.3</v>
      </c>
      <c r="P78" s="2" t="s">
        <v>197</v>
      </c>
      <c r="Q78" s="14">
        <v>0</v>
      </c>
      <c r="R78" s="2" t="s">
        <v>73</v>
      </c>
      <c r="U78" s="26"/>
      <c r="Y78" s="2" t="s">
        <v>78</v>
      </c>
    </row>
    <row r="79" spans="1:26" x14ac:dyDescent="0.3">
      <c r="A79" s="2">
        <v>78</v>
      </c>
      <c r="B79" s="6">
        <v>46127</v>
      </c>
      <c r="C79" s="2" t="s">
        <v>13</v>
      </c>
      <c r="D79" s="2" t="s">
        <v>302</v>
      </c>
      <c r="E79" t="s">
        <v>598</v>
      </c>
      <c r="F79" s="2" t="s">
        <v>122</v>
      </c>
      <c r="G79" s="2" t="s">
        <v>273</v>
      </c>
      <c r="H79" s="2" t="s">
        <v>303</v>
      </c>
      <c r="I79" s="2" t="s">
        <v>27</v>
      </c>
      <c r="J79" s="30">
        <v>98500000</v>
      </c>
      <c r="N79" s="18" t="e">
        <f>J79/#REF!</f>
        <v>#REF!</v>
      </c>
      <c r="O79" s="22">
        <v>0.2</v>
      </c>
      <c r="P79" s="2" t="s">
        <v>197</v>
      </c>
      <c r="Q79" s="14">
        <v>0</v>
      </c>
      <c r="R79" s="2" t="s">
        <v>562</v>
      </c>
      <c r="U79" s="26"/>
      <c r="Y79" s="2" t="s">
        <v>125</v>
      </c>
      <c r="Z79" t="s">
        <v>595</v>
      </c>
    </row>
    <row r="80" spans="1:26" x14ac:dyDescent="0.3">
      <c r="A80" s="2">
        <v>79</v>
      </c>
      <c r="B80" s="6">
        <v>46128</v>
      </c>
      <c r="C80" s="2" t="s">
        <v>13</v>
      </c>
      <c r="D80" s="2" t="s">
        <v>304</v>
      </c>
      <c r="E80" t="s">
        <v>305</v>
      </c>
      <c r="F80" s="2" t="s">
        <v>36</v>
      </c>
      <c r="G80" s="2" t="s">
        <v>306</v>
      </c>
      <c r="H80" s="2" t="s">
        <v>307</v>
      </c>
      <c r="I80" s="2" t="s">
        <v>27</v>
      </c>
      <c r="J80" s="30">
        <v>1191300000</v>
      </c>
      <c r="N80" s="18" t="e">
        <f>J80/#REF!</f>
        <v>#REF!</v>
      </c>
      <c r="O80" s="22">
        <v>0.17</v>
      </c>
      <c r="P80" s="2" t="s">
        <v>28</v>
      </c>
      <c r="Q80" s="14">
        <v>0.25</v>
      </c>
      <c r="R80" s="2" t="s">
        <v>130</v>
      </c>
      <c r="U80" s="26"/>
      <c r="Y80" s="2" t="s">
        <v>529</v>
      </c>
    </row>
    <row r="81" spans="1:26" x14ac:dyDescent="0.3">
      <c r="A81" s="2">
        <v>80</v>
      </c>
      <c r="B81" s="6">
        <v>46129</v>
      </c>
      <c r="C81" s="2" t="s">
        <v>23</v>
      </c>
      <c r="D81" s="2" t="s">
        <v>308</v>
      </c>
      <c r="E81" t="s">
        <v>309</v>
      </c>
      <c r="F81" s="2" t="s">
        <v>244</v>
      </c>
      <c r="G81" s="2" t="s">
        <v>128</v>
      </c>
      <c r="H81" s="2" t="s">
        <v>129</v>
      </c>
      <c r="I81" s="2" t="s">
        <v>27</v>
      </c>
      <c r="J81" s="30">
        <v>83235000</v>
      </c>
      <c r="N81" s="18" t="e">
        <f>J81/#REF!</f>
        <v>#REF!</v>
      </c>
      <c r="O81" s="22">
        <v>0.3</v>
      </c>
      <c r="P81" s="2" t="s">
        <v>197</v>
      </c>
      <c r="Q81" s="14">
        <v>0</v>
      </c>
      <c r="R81" s="2" t="s">
        <v>73</v>
      </c>
      <c r="U81" s="26"/>
      <c r="Y81" s="2" t="s">
        <v>78</v>
      </c>
      <c r="Z81" t="s">
        <v>519</v>
      </c>
    </row>
    <row r="82" spans="1:26" x14ac:dyDescent="0.3">
      <c r="A82" s="2">
        <v>81</v>
      </c>
      <c r="B82" s="6">
        <v>46130</v>
      </c>
      <c r="C82" s="2" t="s">
        <v>23</v>
      </c>
      <c r="D82" s="2" t="s">
        <v>310</v>
      </c>
      <c r="E82" t="s">
        <v>605</v>
      </c>
      <c r="F82" s="2" t="s">
        <v>122</v>
      </c>
      <c r="G82" s="2" t="s">
        <v>311</v>
      </c>
      <c r="H82" s="2" t="s">
        <v>297</v>
      </c>
      <c r="I82" s="2" t="s">
        <v>27</v>
      </c>
      <c r="J82" s="7">
        <v>31351000</v>
      </c>
      <c r="N82" s="18" t="e">
        <f>J82/#REF!</f>
        <v>#REF!</v>
      </c>
      <c r="O82" s="22">
        <v>0.25</v>
      </c>
      <c r="P82" s="2" t="s">
        <v>38</v>
      </c>
      <c r="Q82" s="14">
        <v>1</v>
      </c>
      <c r="R82" s="2" t="s">
        <v>73</v>
      </c>
      <c r="U82" s="30">
        <v>55177760</v>
      </c>
      <c r="Y82" s="2" t="s">
        <v>125</v>
      </c>
      <c r="Z82" t="s">
        <v>355</v>
      </c>
    </row>
    <row r="83" spans="1:26" x14ac:dyDescent="0.3">
      <c r="A83" s="2">
        <v>82</v>
      </c>
      <c r="B83" s="6">
        <v>46139</v>
      </c>
      <c r="C83" s="2" t="s">
        <v>13</v>
      </c>
      <c r="D83" s="2" t="s">
        <v>312</v>
      </c>
      <c r="E83" t="s">
        <v>313</v>
      </c>
      <c r="F83" s="2" t="s">
        <v>36</v>
      </c>
      <c r="G83" s="2" t="s">
        <v>76</v>
      </c>
      <c r="H83" s="2" t="s">
        <v>301</v>
      </c>
      <c r="I83" s="2" t="s">
        <v>27</v>
      </c>
      <c r="J83" s="7">
        <v>134442000</v>
      </c>
      <c r="N83" s="18" t="e">
        <f>J83/#REF!</f>
        <v>#REF!</v>
      </c>
      <c r="O83" s="22">
        <v>0.3</v>
      </c>
      <c r="P83" s="2" t="s">
        <v>197</v>
      </c>
      <c r="Q83" s="14">
        <v>0</v>
      </c>
      <c r="R83" s="2" t="s">
        <v>73</v>
      </c>
      <c r="U83" s="26"/>
      <c r="Y83" s="2" t="s">
        <v>78</v>
      </c>
    </row>
    <row r="84" spans="1:26" x14ac:dyDescent="0.3">
      <c r="A84" s="2">
        <v>83</v>
      </c>
      <c r="B84" s="6">
        <v>46141</v>
      </c>
      <c r="C84" s="2" t="s">
        <v>23</v>
      </c>
      <c r="D84" s="2" t="s">
        <v>314</v>
      </c>
      <c r="E84" t="s">
        <v>606</v>
      </c>
      <c r="F84" s="2" t="s">
        <v>122</v>
      </c>
      <c r="G84" s="2" t="s">
        <v>99</v>
      </c>
      <c r="H84" s="2" t="s">
        <v>315</v>
      </c>
      <c r="I84" s="2" t="s">
        <v>27</v>
      </c>
      <c r="J84" s="7">
        <v>450948000</v>
      </c>
      <c r="N84" s="18" t="e">
        <f>J84/#REF!</f>
        <v>#REF!</v>
      </c>
      <c r="O84" s="22">
        <v>0.15</v>
      </c>
      <c r="P84" s="2" t="s">
        <v>28</v>
      </c>
      <c r="Q84" s="14">
        <v>0.5</v>
      </c>
      <c r="R84" s="2" t="s">
        <v>523</v>
      </c>
      <c r="U84" s="26"/>
      <c r="Y84" s="2" t="s">
        <v>125</v>
      </c>
      <c r="Z84" t="s">
        <v>626</v>
      </c>
    </row>
    <row r="85" spans="1:26" x14ac:dyDescent="0.3">
      <c r="A85" s="2">
        <v>84</v>
      </c>
      <c r="B85" s="6">
        <v>46142</v>
      </c>
      <c r="C85" s="2" t="s">
        <v>14</v>
      </c>
      <c r="D85" s="2" t="s">
        <v>316</v>
      </c>
      <c r="E85" t="s">
        <v>607</v>
      </c>
      <c r="F85" s="2" t="s">
        <v>122</v>
      </c>
      <c r="G85" s="2" t="s">
        <v>60</v>
      </c>
      <c r="H85" s="2" t="s">
        <v>317</v>
      </c>
      <c r="I85" s="2" t="s">
        <v>27</v>
      </c>
      <c r="J85" s="7">
        <v>158542000</v>
      </c>
      <c r="N85" s="18" t="e">
        <f>J85/#REF!</f>
        <v>#REF!</v>
      </c>
      <c r="O85" s="22">
        <v>0.17</v>
      </c>
      <c r="P85" s="2" t="s">
        <v>38</v>
      </c>
      <c r="Q85" s="14">
        <v>0.5</v>
      </c>
      <c r="R85" s="2" t="s">
        <v>130</v>
      </c>
      <c r="U85" s="26">
        <v>158542000</v>
      </c>
      <c r="Y85" s="2" t="s">
        <v>125</v>
      </c>
      <c r="Z85" t="s">
        <v>517</v>
      </c>
    </row>
    <row r="86" spans="1:26" x14ac:dyDescent="0.3">
      <c r="A86" s="2">
        <v>85</v>
      </c>
      <c r="B86" s="6">
        <v>46142</v>
      </c>
      <c r="C86" s="2" t="s">
        <v>11</v>
      </c>
      <c r="D86" s="2" t="s">
        <v>318</v>
      </c>
      <c r="E86" t="s">
        <v>611</v>
      </c>
      <c r="F86" s="2" t="s">
        <v>122</v>
      </c>
      <c r="G86" s="2" t="s">
        <v>99</v>
      </c>
      <c r="H86" s="2" t="s">
        <v>123</v>
      </c>
      <c r="I86" s="2" t="s">
        <v>27</v>
      </c>
      <c r="J86" s="7">
        <v>44506000</v>
      </c>
      <c r="N86" s="18" t="e">
        <f>J86/#REF!</f>
        <v>#REF!</v>
      </c>
      <c r="O86" s="22">
        <v>0.15</v>
      </c>
      <c r="P86" s="2" t="s">
        <v>38</v>
      </c>
      <c r="Q86" s="14">
        <v>1</v>
      </c>
      <c r="R86" s="2" t="s">
        <v>73</v>
      </c>
      <c r="U86" s="30"/>
      <c r="Y86" s="2" t="s">
        <v>125</v>
      </c>
    </row>
    <row r="87" spans="1:26" x14ac:dyDescent="0.3">
      <c r="A87" s="2">
        <v>86</v>
      </c>
      <c r="B87" s="6">
        <v>46142</v>
      </c>
      <c r="C87" s="2" t="s">
        <v>14</v>
      </c>
      <c r="D87" s="2" t="s">
        <v>319</v>
      </c>
      <c r="E87" t="s">
        <v>608</v>
      </c>
      <c r="F87" s="2" t="s">
        <v>122</v>
      </c>
      <c r="G87" s="2" t="s">
        <v>412</v>
      </c>
      <c r="H87" s="2" t="s">
        <v>320</v>
      </c>
      <c r="I87" s="2" t="s">
        <v>27</v>
      </c>
      <c r="N87" s="18" t="e">
        <f>J87/#REF!</f>
        <v>#REF!</v>
      </c>
      <c r="P87" s="2" t="s">
        <v>28</v>
      </c>
      <c r="R87" s="12" t="s">
        <v>574</v>
      </c>
      <c r="U87" s="26"/>
      <c r="Y87" s="2" t="s">
        <v>125</v>
      </c>
      <c r="Z87" t="s">
        <v>439</v>
      </c>
    </row>
    <row r="88" spans="1:26" x14ac:dyDescent="0.3">
      <c r="A88" s="2">
        <v>87</v>
      </c>
      <c r="B88" s="6">
        <v>46142</v>
      </c>
      <c r="C88" s="2" t="s">
        <v>13</v>
      </c>
      <c r="D88" s="2" t="s">
        <v>324</v>
      </c>
      <c r="E88" t="s">
        <v>331</v>
      </c>
      <c r="F88" s="2" t="s">
        <v>36</v>
      </c>
      <c r="G88" s="2" t="s">
        <v>332</v>
      </c>
      <c r="H88" s="2" t="s">
        <v>333</v>
      </c>
      <c r="I88" s="2" t="s">
        <v>27</v>
      </c>
      <c r="J88" s="7">
        <v>45527000</v>
      </c>
      <c r="N88" s="18" t="e">
        <f>J88/#REF!</f>
        <v>#REF!</v>
      </c>
      <c r="O88" s="22">
        <v>0.3</v>
      </c>
      <c r="P88" s="2" t="s">
        <v>28</v>
      </c>
      <c r="Q88" s="14">
        <v>0.25</v>
      </c>
      <c r="R88" s="2" t="s">
        <v>263</v>
      </c>
      <c r="U88" s="30"/>
      <c r="Y88" s="2" t="s">
        <v>29</v>
      </c>
    </row>
    <row r="89" spans="1:26" x14ac:dyDescent="0.3">
      <c r="A89" s="2">
        <v>88</v>
      </c>
      <c r="B89" s="6">
        <v>46142</v>
      </c>
      <c r="C89" s="2" t="s">
        <v>13</v>
      </c>
      <c r="D89" s="2" t="s">
        <v>321</v>
      </c>
      <c r="E89" t="s">
        <v>609</v>
      </c>
      <c r="F89" s="2" t="s">
        <v>122</v>
      </c>
      <c r="G89" s="2" t="s">
        <v>99</v>
      </c>
      <c r="H89" s="2" t="s">
        <v>123</v>
      </c>
      <c r="I89" s="2" t="s">
        <v>27</v>
      </c>
      <c r="J89" s="7">
        <v>95370000</v>
      </c>
      <c r="N89" s="18" t="e">
        <f>J89/#REF!</f>
        <v>#REF!</v>
      </c>
      <c r="O89" s="23">
        <v>0.15</v>
      </c>
      <c r="P89" s="2" t="s">
        <v>38</v>
      </c>
      <c r="Q89" s="14">
        <v>1</v>
      </c>
      <c r="R89" s="2" t="s">
        <v>53</v>
      </c>
      <c r="U89" s="26"/>
      <c r="Y89" s="2" t="s">
        <v>125</v>
      </c>
    </row>
    <row r="90" spans="1:26" x14ac:dyDescent="0.3">
      <c r="A90" s="2">
        <v>89</v>
      </c>
      <c r="B90" s="6">
        <v>46142</v>
      </c>
      <c r="C90" s="2" t="s">
        <v>14</v>
      </c>
      <c r="D90" s="2" t="s">
        <v>322</v>
      </c>
      <c r="E90" t="s">
        <v>610</v>
      </c>
      <c r="F90" s="2" t="s">
        <v>122</v>
      </c>
      <c r="G90" s="2" t="s">
        <v>254</v>
      </c>
      <c r="H90" s="2" t="s">
        <v>323</v>
      </c>
      <c r="I90" s="2" t="s">
        <v>27</v>
      </c>
      <c r="J90" s="7">
        <v>136620000</v>
      </c>
      <c r="N90" s="18" t="e">
        <f>J90/#REF!</f>
        <v>#REF!</v>
      </c>
      <c r="O90" s="22">
        <v>0.4</v>
      </c>
      <c r="P90" s="2" t="s">
        <v>28</v>
      </c>
      <c r="Q90" s="14">
        <v>0.5</v>
      </c>
      <c r="R90" s="2" t="s">
        <v>512</v>
      </c>
      <c r="U90" s="26"/>
      <c r="Y90" s="2" t="s">
        <v>125</v>
      </c>
      <c r="Z90" t="s">
        <v>584</v>
      </c>
    </row>
    <row r="91" spans="1:26" x14ac:dyDescent="0.3">
      <c r="A91" s="2">
        <v>90</v>
      </c>
      <c r="B91" s="6">
        <v>46146</v>
      </c>
      <c r="C91" s="2" t="s">
        <v>11</v>
      </c>
      <c r="D91" s="2" t="s">
        <v>325</v>
      </c>
      <c r="E91" t="s">
        <v>159</v>
      </c>
      <c r="F91" s="2" t="s">
        <v>36</v>
      </c>
      <c r="G91" s="2" t="s">
        <v>86</v>
      </c>
      <c r="H91" s="2" t="s">
        <v>157</v>
      </c>
      <c r="I91" s="2" t="s">
        <v>27</v>
      </c>
      <c r="J91" s="7">
        <v>248811000</v>
      </c>
      <c r="N91" s="18" t="e">
        <f>J91/#REF!</f>
        <v>#REF!</v>
      </c>
      <c r="O91" s="22">
        <v>0.25</v>
      </c>
      <c r="P91" s="2" t="s">
        <v>571</v>
      </c>
      <c r="Q91" s="14">
        <v>0.5</v>
      </c>
      <c r="R91" s="2" t="s">
        <v>130</v>
      </c>
      <c r="U91" s="30"/>
      <c r="Y91" s="2" t="s">
        <v>66</v>
      </c>
      <c r="Z91" t="s">
        <v>570</v>
      </c>
    </row>
    <row r="92" spans="1:26" x14ac:dyDescent="0.3">
      <c r="A92" s="2">
        <v>91</v>
      </c>
      <c r="B92" s="6">
        <v>46146</v>
      </c>
      <c r="C92" s="2" t="s">
        <v>11</v>
      </c>
      <c r="D92" s="2" t="s">
        <v>329</v>
      </c>
      <c r="E92" t="s">
        <v>326</v>
      </c>
      <c r="F92" s="2" t="s">
        <v>327</v>
      </c>
      <c r="G92" s="2" t="s">
        <v>328</v>
      </c>
      <c r="H92" s="2" t="s">
        <v>16</v>
      </c>
      <c r="I92" s="2" t="s">
        <v>27</v>
      </c>
      <c r="J92" s="7">
        <v>670694000</v>
      </c>
      <c r="N92" s="18" t="e">
        <f>J92/#REF!</f>
        <v>#REF!</v>
      </c>
      <c r="O92" s="22">
        <v>0.3</v>
      </c>
      <c r="P92" s="2" t="s">
        <v>28</v>
      </c>
      <c r="Q92" s="14">
        <v>0.25</v>
      </c>
      <c r="R92" s="2" t="s">
        <v>263</v>
      </c>
      <c r="U92" s="30"/>
      <c r="Y92" s="2" t="s">
        <v>34</v>
      </c>
      <c r="Z92" t="s">
        <v>572</v>
      </c>
    </row>
    <row r="93" spans="1:26" x14ac:dyDescent="0.3">
      <c r="A93" s="2">
        <v>92</v>
      </c>
      <c r="B93" s="6">
        <v>46147</v>
      </c>
      <c r="C93" s="2" t="s">
        <v>15</v>
      </c>
      <c r="D93" s="2" t="s">
        <v>335</v>
      </c>
      <c r="E93" t="s">
        <v>336</v>
      </c>
      <c r="F93" s="2" t="s">
        <v>64</v>
      </c>
      <c r="G93" s="2" t="s">
        <v>137</v>
      </c>
      <c r="H93" s="2" t="s">
        <v>138</v>
      </c>
      <c r="I93" s="2" t="s">
        <v>33</v>
      </c>
      <c r="J93" s="7">
        <v>2851883000</v>
      </c>
      <c r="N93" s="18" t="e">
        <f>J93/#REF!</f>
        <v>#REF!</v>
      </c>
      <c r="O93" s="22">
        <v>0.1</v>
      </c>
      <c r="P93" s="2" t="s">
        <v>28</v>
      </c>
      <c r="Q93" s="14">
        <v>0.25</v>
      </c>
      <c r="R93" s="2" t="s">
        <v>585</v>
      </c>
      <c r="U93" s="26"/>
      <c r="Y93" s="2" t="s">
        <v>78</v>
      </c>
      <c r="Z93" t="s">
        <v>586</v>
      </c>
    </row>
    <row r="94" spans="1:26" x14ac:dyDescent="0.3">
      <c r="A94" s="2">
        <v>93</v>
      </c>
      <c r="B94" s="6">
        <v>46148</v>
      </c>
      <c r="C94" s="2" t="s">
        <v>13</v>
      </c>
      <c r="D94" s="2" t="s">
        <v>334</v>
      </c>
      <c r="E94" t="s">
        <v>337</v>
      </c>
      <c r="F94" s="2" t="s">
        <v>244</v>
      </c>
      <c r="G94" s="2" t="s">
        <v>94</v>
      </c>
      <c r="H94" s="2" t="s">
        <v>95</v>
      </c>
      <c r="I94" s="2" t="s">
        <v>27</v>
      </c>
      <c r="N94" s="18"/>
      <c r="P94" s="2" t="s">
        <v>28</v>
      </c>
      <c r="R94" s="12" t="s">
        <v>574</v>
      </c>
      <c r="U94" s="26"/>
      <c r="Y94" s="2" t="s">
        <v>29</v>
      </c>
      <c r="Z94" t="s">
        <v>338</v>
      </c>
    </row>
    <row r="95" spans="1:26" x14ac:dyDescent="0.3">
      <c r="A95" s="2">
        <v>94</v>
      </c>
      <c r="B95" s="6">
        <v>46149</v>
      </c>
      <c r="C95" s="2" t="s">
        <v>14</v>
      </c>
      <c r="D95" s="2" t="s">
        <v>339</v>
      </c>
      <c r="E95" t="s">
        <v>340</v>
      </c>
      <c r="F95" s="2" t="s">
        <v>36</v>
      </c>
      <c r="G95" s="2" t="s">
        <v>60</v>
      </c>
      <c r="H95" s="2" t="s">
        <v>341</v>
      </c>
      <c r="I95" s="2" t="s">
        <v>27</v>
      </c>
      <c r="J95" s="7">
        <v>111222000</v>
      </c>
      <c r="N95" s="18" t="e">
        <f>J95/#REF!</f>
        <v>#REF!</v>
      </c>
      <c r="O95" s="23">
        <v>0.3</v>
      </c>
      <c r="P95" s="2" t="s">
        <v>28</v>
      </c>
      <c r="Q95" s="14">
        <v>0.25</v>
      </c>
      <c r="R95" s="2" t="s">
        <v>585</v>
      </c>
      <c r="U95" s="26"/>
      <c r="Y95" s="2" t="s">
        <v>78</v>
      </c>
      <c r="Z95" t="s">
        <v>587</v>
      </c>
    </row>
    <row r="96" spans="1:26" x14ac:dyDescent="0.3">
      <c r="A96" s="2">
        <v>95</v>
      </c>
      <c r="B96" s="6">
        <v>46149</v>
      </c>
      <c r="C96" s="2" t="s">
        <v>14</v>
      </c>
      <c r="D96" s="2" t="s">
        <v>351</v>
      </c>
      <c r="E96" t="s">
        <v>352</v>
      </c>
      <c r="F96" s="2" t="s">
        <v>64</v>
      </c>
      <c r="G96" s="2" t="s">
        <v>353</v>
      </c>
      <c r="H96" s="2" t="s">
        <v>354</v>
      </c>
      <c r="I96" s="2" t="s">
        <v>27</v>
      </c>
      <c r="J96" s="7">
        <v>273994000</v>
      </c>
      <c r="N96" s="18" t="e">
        <f>J96/#REF!</f>
        <v>#REF!</v>
      </c>
      <c r="O96" s="23">
        <v>0.35</v>
      </c>
      <c r="P96" s="2" t="s">
        <v>28</v>
      </c>
      <c r="Q96" s="14">
        <v>0.25</v>
      </c>
      <c r="R96" s="2" t="s">
        <v>573</v>
      </c>
      <c r="U96" s="26"/>
      <c r="Y96" s="2" t="s">
        <v>66</v>
      </c>
      <c r="Z96" t="s">
        <v>468</v>
      </c>
    </row>
    <row r="97" spans="1:26" x14ac:dyDescent="0.3">
      <c r="A97" s="2">
        <v>96</v>
      </c>
      <c r="B97" s="6">
        <v>46149</v>
      </c>
      <c r="C97" s="2" t="s">
        <v>13</v>
      </c>
      <c r="D97" s="2" t="s">
        <v>342</v>
      </c>
      <c r="E97" t="s">
        <v>83</v>
      </c>
      <c r="F97" s="2" t="s">
        <v>36</v>
      </c>
      <c r="G97" s="2" t="s">
        <v>343</v>
      </c>
      <c r="H97" s="2" t="s">
        <v>344</v>
      </c>
      <c r="I97" s="2" t="s">
        <v>27</v>
      </c>
      <c r="J97" s="7">
        <v>1591827000</v>
      </c>
      <c r="N97" s="18" t="e">
        <f>J97/#REF!</f>
        <v>#REF!</v>
      </c>
      <c r="O97" s="22">
        <v>0.2</v>
      </c>
      <c r="P97" s="2" t="s">
        <v>28</v>
      </c>
      <c r="Q97" s="14">
        <v>0.25</v>
      </c>
      <c r="R97" s="2" t="s">
        <v>559</v>
      </c>
      <c r="U97" s="30"/>
      <c r="Y97" s="2" t="s">
        <v>34</v>
      </c>
    </row>
    <row r="98" spans="1:26" x14ac:dyDescent="0.3">
      <c r="A98" s="2">
        <v>97</v>
      </c>
      <c r="B98" s="6">
        <v>46150</v>
      </c>
      <c r="C98" s="2" t="s">
        <v>14</v>
      </c>
      <c r="D98" s="2" t="s">
        <v>347</v>
      </c>
      <c r="E98" t="s">
        <v>348</v>
      </c>
      <c r="F98" s="2" t="s">
        <v>36</v>
      </c>
      <c r="G98" s="2" t="s">
        <v>350</v>
      </c>
      <c r="H98" s="2" t="s">
        <v>349</v>
      </c>
      <c r="I98" s="2" t="s">
        <v>27</v>
      </c>
      <c r="J98" s="7">
        <v>125509000</v>
      </c>
      <c r="N98" s="18" t="e">
        <f>J98/#REF!</f>
        <v>#REF!</v>
      </c>
      <c r="O98" s="22">
        <v>0.3</v>
      </c>
      <c r="P98" s="2" t="s">
        <v>28</v>
      </c>
      <c r="Q98" s="14">
        <v>0.25</v>
      </c>
      <c r="R98" s="2" t="s">
        <v>73</v>
      </c>
      <c r="U98" s="26"/>
      <c r="Y98" s="2" t="s">
        <v>29</v>
      </c>
    </row>
    <row r="99" spans="1:26" x14ac:dyDescent="0.3">
      <c r="A99" s="2">
        <v>98</v>
      </c>
      <c r="B99" s="6">
        <v>46150</v>
      </c>
      <c r="C99" s="2" t="s">
        <v>23</v>
      </c>
      <c r="D99" s="2" t="s">
        <v>345</v>
      </c>
      <c r="E99" t="s">
        <v>305</v>
      </c>
      <c r="F99" s="2" t="s">
        <v>36</v>
      </c>
      <c r="G99" s="2" t="s">
        <v>99</v>
      </c>
      <c r="H99" s="2" t="s">
        <v>346</v>
      </c>
      <c r="I99" s="2" t="s">
        <v>27</v>
      </c>
      <c r="J99" s="7">
        <v>278080000</v>
      </c>
      <c r="N99" s="18" t="e">
        <f>J99/#REF!</f>
        <v>#REF!</v>
      </c>
      <c r="O99" s="22">
        <v>0.2</v>
      </c>
      <c r="P99" s="2" t="s">
        <v>197</v>
      </c>
      <c r="Q99" s="14">
        <v>0</v>
      </c>
      <c r="R99" s="2" t="s">
        <v>73</v>
      </c>
      <c r="U99" s="26"/>
      <c r="Y99" s="2" t="s">
        <v>34</v>
      </c>
    </row>
    <row r="100" spans="1:26" x14ac:dyDescent="0.3">
      <c r="A100" s="2">
        <v>99</v>
      </c>
      <c r="B100" s="6">
        <v>46154</v>
      </c>
      <c r="C100" s="2" t="s">
        <v>14</v>
      </c>
      <c r="D100" s="2" t="s">
        <v>362</v>
      </c>
      <c r="E100" t="s">
        <v>612</v>
      </c>
      <c r="F100" s="2" t="s">
        <v>122</v>
      </c>
      <c r="G100" s="2" t="s">
        <v>350</v>
      </c>
      <c r="H100" s="2" t="s">
        <v>354</v>
      </c>
      <c r="I100" s="2" t="s">
        <v>27</v>
      </c>
      <c r="J100" s="7">
        <v>231310000</v>
      </c>
      <c r="M100" s="20"/>
      <c r="N100" s="18" t="e">
        <f>J100/#REF!</f>
        <v>#REF!</v>
      </c>
      <c r="O100" s="24">
        <v>0.3</v>
      </c>
      <c r="P100" s="2" t="s">
        <v>28</v>
      </c>
      <c r="Q100" s="14">
        <v>0.5</v>
      </c>
      <c r="R100" s="2" t="s">
        <v>512</v>
      </c>
      <c r="U100" s="30"/>
      <c r="Y100" s="2" t="s">
        <v>125</v>
      </c>
      <c r="Z100" t="s">
        <v>363</v>
      </c>
    </row>
    <row r="101" spans="1:26" x14ac:dyDescent="0.3">
      <c r="A101" s="2">
        <v>100</v>
      </c>
      <c r="B101" s="6">
        <v>46154</v>
      </c>
      <c r="C101" s="2" t="s">
        <v>23</v>
      </c>
      <c r="D101" s="2" t="s">
        <v>364</v>
      </c>
      <c r="E101" t="s">
        <v>365</v>
      </c>
      <c r="F101" s="2" t="s">
        <v>181</v>
      </c>
      <c r="G101" s="2" t="s">
        <v>76</v>
      </c>
      <c r="H101" s="2" t="s">
        <v>354</v>
      </c>
      <c r="I101" s="2" t="s">
        <v>27</v>
      </c>
      <c r="J101" s="7">
        <v>73332000</v>
      </c>
      <c r="M101" s="20"/>
      <c r="N101" s="18" t="e">
        <f>J101/#REF!</f>
        <v>#REF!</v>
      </c>
      <c r="O101" s="14">
        <v>0.3</v>
      </c>
      <c r="P101" s="2" t="s">
        <v>28</v>
      </c>
      <c r="Q101" s="14">
        <v>0.5</v>
      </c>
      <c r="R101" s="2" t="s">
        <v>512</v>
      </c>
      <c r="U101" s="26"/>
      <c r="Y101" s="2" t="s">
        <v>34</v>
      </c>
      <c r="Z101" t="s">
        <v>366</v>
      </c>
    </row>
    <row r="102" spans="1:26" x14ac:dyDescent="0.3">
      <c r="A102" s="2">
        <v>101</v>
      </c>
      <c r="B102" s="6">
        <v>46157</v>
      </c>
      <c r="C102" s="2" t="s">
        <v>11</v>
      </c>
      <c r="D102" s="2" t="s">
        <v>367</v>
      </c>
      <c r="E102" t="s">
        <v>613</v>
      </c>
      <c r="F102" s="2" t="s">
        <v>122</v>
      </c>
      <c r="G102" s="2" t="s">
        <v>262</v>
      </c>
      <c r="H102" s="2" t="s">
        <v>16</v>
      </c>
      <c r="I102" s="2" t="s">
        <v>27</v>
      </c>
      <c r="J102" s="7">
        <v>138025000</v>
      </c>
      <c r="M102" s="20"/>
      <c r="N102" s="18" t="e">
        <f>J102/#REF!</f>
        <v>#REF!</v>
      </c>
      <c r="O102" s="14">
        <v>0.25</v>
      </c>
      <c r="P102" s="2" t="s">
        <v>28</v>
      </c>
      <c r="Q102" s="14">
        <v>0.25</v>
      </c>
      <c r="R102" s="2" t="s">
        <v>523</v>
      </c>
      <c r="U102" s="30"/>
      <c r="Y102" s="2" t="s">
        <v>125</v>
      </c>
      <c r="Z102" t="s">
        <v>375</v>
      </c>
    </row>
    <row r="103" spans="1:26" x14ac:dyDescent="0.3">
      <c r="A103" s="2">
        <v>102</v>
      </c>
      <c r="B103" s="6">
        <v>46157</v>
      </c>
      <c r="C103" s="2" t="s">
        <v>14</v>
      </c>
      <c r="D103" s="2" t="s">
        <v>368</v>
      </c>
      <c r="E103" t="s">
        <v>614</v>
      </c>
      <c r="F103" s="2" t="s">
        <v>122</v>
      </c>
      <c r="G103" s="2" t="s">
        <v>376</v>
      </c>
      <c r="H103" s="2" t="s">
        <v>377</v>
      </c>
      <c r="I103" s="2" t="s">
        <v>27</v>
      </c>
      <c r="M103" s="20"/>
      <c r="N103" s="18" t="e">
        <f>J103/#REF!</f>
        <v>#REF!</v>
      </c>
      <c r="O103" s="24"/>
      <c r="P103" s="2" t="s">
        <v>197</v>
      </c>
      <c r="R103" s="2" t="s">
        <v>130</v>
      </c>
      <c r="U103" s="30"/>
      <c r="Y103" s="2" t="s">
        <v>125</v>
      </c>
      <c r="Z103" t="s">
        <v>525</v>
      </c>
    </row>
    <row r="104" spans="1:26" x14ac:dyDescent="0.3">
      <c r="A104" s="2">
        <v>103</v>
      </c>
      <c r="B104" s="6">
        <v>46157</v>
      </c>
      <c r="C104" s="2" t="s">
        <v>13</v>
      </c>
      <c r="D104" s="2" t="s">
        <v>369</v>
      </c>
      <c r="E104" t="s">
        <v>615</v>
      </c>
      <c r="F104" s="2" t="s">
        <v>122</v>
      </c>
      <c r="G104" s="2" t="s">
        <v>412</v>
      </c>
      <c r="H104" s="2" t="s">
        <v>354</v>
      </c>
      <c r="I104" s="2" t="s">
        <v>27</v>
      </c>
      <c r="M104" s="20"/>
      <c r="N104" s="18" t="e">
        <f>J104/#REF!</f>
        <v>#REF!</v>
      </c>
      <c r="O104" s="24">
        <v>0.25</v>
      </c>
      <c r="P104" s="2" t="s">
        <v>28</v>
      </c>
      <c r="R104" s="2" t="s">
        <v>523</v>
      </c>
      <c r="U104" s="26"/>
      <c r="Y104" s="2" t="s">
        <v>125</v>
      </c>
      <c r="Z104" t="s">
        <v>438</v>
      </c>
    </row>
    <row r="105" spans="1:26" x14ac:dyDescent="0.3">
      <c r="A105" s="2">
        <v>104</v>
      </c>
      <c r="B105" s="6">
        <v>46157</v>
      </c>
      <c r="C105" s="2" t="s">
        <v>23</v>
      </c>
      <c r="D105" s="2" t="s">
        <v>370</v>
      </c>
      <c r="E105" t="s">
        <v>616</v>
      </c>
      <c r="F105" s="2" t="s">
        <v>122</v>
      </c>
      <c r="G105" s="2" t="s">
        <v>99</v>
      </c>
      <c r="H105" s="2" t="s">
        <v>378</v>
      </c>
      <c r="I105" s="2" t="s">
        <v>27</v>
      </c>
      <c r="J105" s="7">
        <v>629910000</v>
      </c>
      <c r="M105" s="20"/>
      <c r="N105" s="18" t="e">
        <f>J105/#REF!</f>
        <v>#REF!</v>
      </c>
      <c r="O105" s="24">
        <v>0.15</v>
      </c>
      <c r="P105" s="2" t="s">
        <v>28</v>
      </c>
      <c r="Q105" s="14">
        <v>0.5</v>
      </c>
      <c r="R105" s="2" t="s">
        <v>512</v>
      </c>
      <c r="U105" s="30"/>
      <c r="Y105" s="2" t="s">
        <v>125</v>
      </c>
      <c r="Z105" t="s">
        <v>588</v>
      </c>
    </row>
    <row r="106" spans="1:26" x14ac:dyDescent="0.3">
      <c r="A106" s="2">
        <v>105</v>
      </c>
      <c r="B106" s="6">
        <v>46157</v>
      </c>
      <c r="C106" s="2" t="s">
        <v>13</v>
      </c>
      <c r="D106" s="2" t="s">
        <v>371</v>
      </c>
      <c r="E106" t="s">
        <v>374</v>
      </c>
      <c r="F106" s="2" t="s">
        <v>37</v>
      </c>
      <c r="G106" s="2" t="s">
        <v>94</v>
      </c>
      <c r="H106" s="2" t="s">
        <v>379</v>
      </c>
      <c r="I106" s="2" t="s">
        <v>27</v>
      </c>
      <c r="J106" s="7">
        <v>61400000</v>
      </c>
      <c r="M106" s="20"/>
      <c r="N106" s="18" t="e">
        <f>J106/#REF!</f>
        <v>#REF!</v>
      </c>
      <c r="O106" s="24">
        <v>0.3</v>
      </c>
      <c r="P106" s="2" t="s">
        <v>28</v>
      </c>
      <c r="Q106" s="14">
        <v>0.5</v>
      </c>
      <c r="R106" s="2" t="s">
        <v>523</v>
      </c>
      <c r="U106" s="30"/>
      <c r="Y106" s="2" t="s">
        <v>29</v>
      </c>
    </row>
    <row r="107" spans="1:26" x14ac:dyDescent="0.3">
      <c r="A107" s="2">
        <v>106</v>
      </c>
      <c r="B107" s="6">
        <v>46157</v>
      </c>
      <c r="C107" s="2" t="s">
        <v>15</v>
      </c>
      <c r="D107" s="2" t="s">
        <v>372</v>
      </c>
      <c r="E107" t="s">
        <v>69</v>
      </c>
      <c r="F107" s="2" t="s">
        <v>70</v>
      </c>
      <c r="G107" s="2" t="s">
        <v>380</v>
      </c>
      <c r="H107" s="2" t="s">
        <v>381</v>
      </c>
      <c r="I107" s="2" t="s">
        <v>27</v>
      </c>
      <c r="J107" s="7">
        <v>54494000</v>
      </c>
      <c r="M107" s="20"/>
      <c r="N107" s="18" t="e">
        <f>J107/#REF!</f>
        <v>#REF!</v>
      </c>
      <c r="O107" s="24">
        <v>0.28000000000000003</v>
      </c>
      <c r="P107" s="2" t="s">
        <v>38</v>
      </c>
      <c r="Q107" s="14">
        <v>1</v>
      </c>
      <c r="R107" s="2" t="s">
        <v>73</v>
      </c>
      <c r="U107" s="26">
        <v>54494000</v>
      </c>
      <c r="Y107" s="2" t="s">
        <v>34</v>
      </c>
    </row>
    <row r="108" spans="1:26" x14ac:dyDescent="0.3">
      <c r="A108" s="2">
        <v>107</v>
      </c>
      <c r="B108" s="6">
        <v>46157</v>
      </c>
      <c r="C108" s="2" t="s">
        <v>14</v>
      </c>
      <c r="D108" s="2" t="s">
        <v>373</v>
      </c>
      <c r="E108" t="s">
        <v>617</v>
      </c>
      <c r="F108" s="2" t="s">
        <v>122</v>
      </c>
      <c r="G108" s="2" t="s">
        <v>350</v>
      </c>
      <c r="H108" s="2" t="s">
        <v>382</v>
      </c>
      <c r="I108" s="2" t="s">
        <v>27</v>
      </c>
      <c r="J108" s="7">
        <v>105816000</v>
      </c>
      <c r="M108" s="20"/>
      <c r="N108" s="18" t="e">
        <f>J108/#REF!</f>
        <v>#REF!</v>
      </c>
      <c r="O108" s="24">
        <v>0.3</v>
      </c>
      <c r="P108" s="2" t="s">
        <v>28</v>
      </c>
      <c r="Q108" s="14">
        <v>0.5</v>
      </c>
      <c r="R108" s="2" t="s">
        <v>523</v>
      </c>
      <c r="U108" s="26"/>
      <c r="Y108" s="2" t="s">
        <v>125</v>
      </c>
    </row>
    <row r="109" spans="1:26" x14ac:dyDescent="0.3">
      <c r="A109" s="2">
        <v>108</v>
      </c>
      <c r="B109" s="6">
        <v>46160</v>
      </c>
      <c r="C109" s="2" t="s">
        <v>13</v>
      </c>
      <c r="D109" s="2" t="s">
        <v>383</v>
      </c>
      <c r="E109" t="s">
        <v>384</v>
      </c>
      <c r="F109" s="2" t="s">
        <v>36</v>
      </c>
      <c r="G109" s="2" t="s">
        <v>76</v>
      </c>
      <c r="H109" s="2" t="s">
        <v>77</v>
      </c>
      <c r="I109" s="2" t="s">
        <v>27</v>
      </c>
      <c r="J109" s="7">
        <v>1500000</v>
      </c>
      <c r="M109" s="20"/>
      <c r="N109" s="17" t="e">
        <f>J109/#REF!</f>
        <v>#REF!</v>
      </c>
      <c r="O109" s="24">
        <v>0.3</v>
      </c>
      <c r="P109" s="2" t="s">
        <v>28</v>
      </c>
      <c r="Q109" s="14">
        <v>0.2</v>
      </c>
      <c r="R109" s="2" t="s">
        <v>130</v>
      </c>
      <c r="U109" s="26"/>
      <c r="Y109" s="2" t="s">
        <v>29</v>
      </c>
    </row>
    <row r="110" spans="1:26" x14ac:dyDescent="0.3">
      <c r="A110" s="2">
        <v>109</v>
      </c>
      <c r="B110" s="6">
        <v>46160</v>
      </c>
      <c r="C110" s="2" t="s">
        <v>13</v>
      </c>
      <c r="D110" s="2" t="s">
        <v>385</v>
      </c>
      <c r="E110" t="s">
        <v>618</v>
      </c>
      <c r="F110" s="2" t="s">
        <v>122</v>
      </c>
      <c r="G110" s="2" t="s">
        <v>386</v>
      </c>
      <c r="H110" s="2" t="s">
        <v>387</v>
      </c>
      <c r="I110" s="2" t="s">
        <v>27</v>
      </c>
      <c r="J110" s="7">
        <v>31450000</v>
      </c>
      <c r="M110" s="20"/>
      <c r="N110" s="17" t="e">
        <f>J110/#REF!</f>
        <v>#REF!</v>
      </c>
      <c r="O110" s="24">
        <v>0.25</v>
      </c>
      <c r="P110" s="2" t="s">
        <v>28</v>
      </c>
      <c r="Q110" s="14">
        <v>0.5</v>
      </c>
      <c r="R110" s="2" t="s">
        <v>523</v>
      </c>
      <c r="U110" s="30"/>
      <c r="Y110" s="2" t="s">
        <v>125</v>
      </c>
    </row>
    <row r="111" spans="1:26" x14ac:dyDescent="0.3">
      <c r="A111" s="2">
        <v>110</v>
      </c>
      <c r="B111" s="6">
        <v>46160</v>
      </c>
      <c r="C111" s="2" t="s">
        <v>14</v>
      </c>
      <c r="D111" s="2" t="s">
        <v>388</v>
      </c>
      <c r="E111" t="s">
        <v>365</v>
      </c>
      <c r="F111" s="2" t="s">
        <v>181</v>
      </c>
      <c r="G111" s="2" t="s">
        <v>76</v>
      </c>
      <c r="H111" s="2" t="s">
        <v>389</v>
      </c>
      <c r="I111" s="2" t="s">
        <v>27</v>
      </c>
      <c r="M111" s="20"/>
      <c r="O111" s="24"/>
      <c r="P111" s="2" t="s">
        <v>197</v>
      </c>
      <c r="Q111" s="14">
        <v>0</v>
      </c>
      <c r="U111" s="26"/>
      <c r="Y111" s="2" t="s">
        <v>34</v>
      </c>
      <c r="Z111" t="s">
        <v>437</v>
      </c>
    </row>
    <row r="112" spans="1:26" x14ac:dyDescent="0.3">
      <c r="A112" s="2">
        <v>111</v>
      </c>
      <c r="B112" s="6">
        <v>46163</v>
      </c>
      <c r="C112" s="2" t="s">
        <v>13</v>
      </c>
      <c r="D112" s="2" t="s">
        <v>390</v>
      </c>
      <c r="E112" t="s">
        <v>194</v>
      </c>
      <c r="F112" s="2" t="s">
        <v>64</v>
      </c>
      <c r="G112" s="2" t="s">
        <v>391</v>
      </c>
      <c r="H112" s="2" t="s">
        <v>392</v>
      </c>
      <c r="I112" s="2" t="s">
        <v>27</v>
      </c>
      <c r="J112" s="7">
        <v>43069000</v>
      </c>
      <c r="M112" s="20"/>
      <c r="N112" s="17" t="e">
        <f>J112/#REF!</f>
        <v>#REF!</v>
      </c>
      <c r="O112" s="24">
        <v>0.25</v>
      </c>
      <c r="P112" s="2" t="s">
        <v>28</v>
      </c>
      <c r="Q112" s="14">
        <v>0.75</v>
      </c>
      <c r="R112" s="2" t="s">
        <v>523</v>
      </c>
      <c r="U112" s="26"/>
      <c r="Y112" s="2" t="s">
        <v>66</v>
      </c>
      <c r="Z112" t="s">
        <v>103</v>
      </c>
    </row>
    <row r="113" spans="1:26" x14ac:dyDescent="0.3">
      <c r="A113" s="2">
        <v>112</v>
      </c>
      <c r="B113" s="6">
        <v>46163</v>
      </c>
      <c r="C113" s="2" t="s">
        <v>13</v>
      </c>
      <c r="D113" s="2" t="s">
        <v>393</v>
      </c>
      <c r="E113" t="s">
        <v>394</v>
      </c>
      <c r="F113" s="2" t="s">
        <v>64</v>
      </c>
      <c r="G113" s="2" t="s">
        <v>391</v>
      </c>
      <c r="H113" s="2" t="s">
        <v>392</v>
      </c>
      <c r="I113" s="2" t="s">
        <v>27</v>
      </c>
      <c r="J113" s="7">
        <v>121375000</v>
      </c>
      <c r="M113" s="20"/>
      <c r="N113" s="17" t="e">
        <f>J113/#REF!</f>
        <v>#REF!</v>
      </c>
      <c r="O113" s="24">
        <v>0.25</v>
      </c>
      <c r="P113" s="2" t="s">
        <v>197</v>
      </c>
      <c r="Q113" s="14">
        <v>0.35</v>
      </c>
      <c r="R113" s="2" t="s">
        <v>130</v>
      </c>
      <c r="U113" s="30"/>
      <c r="Y113" s="2" t="s">
        <v>78</v>
      </c>
      <c r="Z113" t="s">
        <v>520</v>
      </c>
    </row>
    <row r="114" spans="1:26" x14ac:dyDescent="0.3">
      <c r="A114" s="2">
        <v>113</v>
      </c>
      <c r="B114" s="6">
        <v>46163</v>
      </c>
      <c r="C114" s="2" t="s">
        <v>12</v>
      </c>
      <c r="D114" s="2" t="s">
        <v>395</v>
      </c>
      <c r="E114" t="s">
        <v>177</v>
      </c>
      <c r="F114" s="2" t="s">
        <v>213</v>
      </c>
      <c r="G114" s="2" t="s">
        <v>65</v>
      </c>
      <c r="H114" s="2" t="s">
        <v>17</v>
      </c>
      <c r="I114" s="2" t="s">
        <v>27</v>
      </c>
      <c r="J114" s="7">
        <v>138458000</v>
      </c>
      <c r="M114" s="20"/>
      <c r="N114" s="17" t="e">
        <f>J114/#REF!</f>
        <v>#REF!</v>
      </c>
      <c r="O114" s="24">
        <v>0.25</v>
      </c>
      <c r="P114" s="2" t="s">
        <v>28</v>
      </c>
      <c r="Q114" s="14">
        <v>0.25</v>
      </c>
      <c r="R114" s="2" t="s">
        <v>130</v>
      </c>
      <c r="U114" s="30"/>
      <c r="Y114" s="2" t="s">
        <v>78</v>
      </c>
      <c r="Z114" t="s">
        <v>521</v>
      </c>
    </row>
    <row r="115" spans="1:26" x14ac:dyDescent="0.3">
      <c r="A115" s="2">
        <v>114</v>
      </c>
      <c r="B115" s="6">
        <v>46164</v>
      </c>
      <c r="C115" s="2" t="s">
        <v>14</v>
      </c>
      <c r="D115" s="2" t="s">
        <v>396</v>
      </c>
      <c r="E115" t="s">
        <v>627</v>
      </c>
      <c r="F115" s="2" t="s">
        <v>122</v>
      </c>
      <c r="G115" s="2" t="s">
        <v>397</v>
      </c>
      <c r="H115" s="2" t="s">
        <v>398</v>
      </c>
      <c r="I115" s="2" t="s">
        <v>27</v>
      </c>
      <c r="M115" s="20"/>
      <c r="O115" s="24"/>
      <c r="P115" s="2" t="s">
        <v>565</v>
      </c>
      <c r="U115" s="30"/>
      <c r="Y115" s="2" t="s">
        <v>125</v>
      </c>
      <c r="Z115" t="s">
        <v>399</v>
      </c>
    </row>
    <row r="116" spans="1:26" x14ac:dyDescent="0.3">
      <c r="A116" s="2">
        <v>115</v>
      </c>
      <c r="B116" s="6">
        <v>46164</v>
      </c>
      <c r="C116" s="2" t="s">
        <v>11</v>
      </c>
      <c r="D116" s="2" t="s">
        <v>400</v>
      </c>
      <c r="E116" t="s">
        <v>628</v>
      </c>
      <c r="F116" s="2" t="s">
        <v>122</v>
      </c>
      <c r="G116" s="2" t="s">
        <v>99</v>
      </c>
      <c r="H116" s="2" t="s">
        <v>401</v>
      </c>
      <c r="I116" s="2" t="s">
        <v>27</v>
      </c>
      <c r="M116" s="20"/>
      <c r="O116" s="24"/>
      <c r="P116" s="2" t="s">
        <v>565</v>
      </c>
      <c r="U116" s="26"/>
      <c r="Y116" s="2" t="s">
        <v>125</v>
      </c>
      <c r="Z116" t="s">
        <v>402</v>
      </c>
    </row>
    <row r="117" spans="1:26" x14ac:dyDescent="0.3">
      <c r="A117" s="2">
        <v>116</v>
      </c>
      <c r="B117" s="6">
        <v>46164</v>
      </c>
      <c r="C117" s="2" t="s">
        <v>11</v>
      </c>
      <c r="D117" s="2" t="s">
        <v>403</v>
      </c>
      <c r="E117" t="s">
        <v>629</v>
      </c>
      <c r="F117" s="2" t="s">
        <v>122</v>
      </c>
      <c r="G117" s="2" t="s">
        <v>99</v>
      </c>
      <c r="H117" s="2" t="s">
        <v>404</v>
      </c>
      <c r="I117" s="2" t="s">
        <v>27</v>
      </c>
      <c r="M117" s="20"/>
      <c r="O117" s="24"/>
      <c r="P117" s="2" t="s">
        <v>565</v>
      </c>
      <c r="U117" s="30"/>
      <c r="Y117" s="2" t="s">
        <v>125</v>
      </c>
      <c r="Z117" t="s">
        <v>405</v>
      </c>
    </row>
    <row r="118" spans="1:26" x14ac:dyDescent="0.3">
      <c r="A118" s="2">
        <v>117</v>
      </c>
      <c r="B118" s="6">
        <v>46164</v>
      </c>
      <c r="C118" s="2" t="s">
        <v>11</v>
      </c>
      <c r="D118" s="2" t="s">
        <v>406</v>
      </c>
      <c r="E118" t="s">
        <v>619</v>
      </c>
      <c r="F118" s="2" t="s">
        <v>122</v>
      </c>
      <c r="G118" s="2" t="s">
        <v>99</v>
      </c>
      <c r="H118" s="2" t="s">
        <v>407</v>
      </c>
      <c r="I118" s="2" t="s">
        <v>27</v>
      </c>
      <c r="M118" s="20"/>
      <c r="O118" s="24"/>
      <c r="P118" s="2" t="s">
        <v>565</v>
      </c>
      <c r="U118" s="26"/>
      <c r="Y118" s="2" t="s">
        <v>125</v>
      </c>
      <c r="Z118" t="s">
        <v>408</v>
      </c>
    </row>
    <row r="119" spans="1:26" x14ac:dyDescent="0.3">
      <c r="A119" s="2">
        <v>118</v>
      </c>
      <c r="B119" s="6">
        <v>46164</v>
      </c>
      <c r="C119" s="2" t="s">
        <v>14</v>
      </c>
      <c r="D119" s="2" t="s">
        <v>409</v>
      </c>
      <c r="E119" t="s">
        <v>620</v>
      </c>
      <c r="F119" s="2" t="s">
        <v>122</v>
      </c>
      <c r="G119" s="2" t="s">
        <v>410</v>
      </c>
      <c r="H119" s="2" t="s">
        <v>411</v>
      </c>
      <c r="I119" s="2" t="s">
        <v>27</v>
      </c>
      <c r="M119" s="20"/>
      <c r="O119" s="24"/>
      <c r="P119" s="2" t="s">
        <v>28</v>
      </c>
      <c r="R119" s="12" t="s">
        <v>574</v>
      </c>
      <c r="U119" s="26"/>
      <c r="Y119" s="2" t="s">
        <v>125</v>
      </c>
      <c r="Z119" t="s">
        <v>413</v>
      </c>
    </row>
    <row r="120" spans="1:26" x14ac:dyDescent="0.3">
      <c r="A120" s="2">
        <v>119</v>
      </c>
      <c r="B120" s="6">
        <v>46164</v>
      </c>
      <c r="C120" s="2" t="s">
        <v>11</v>
      </c>
      <c r="D120" s="2" t="s">
        <v>414</v>
      </c>
      <c r="E120" t="s">
        <v>415</v>
      </c>
      <c r="F120" s="2" t="s">
        <v>64</v>
      </c>
      <c r="G120" s="2" t="s">
        <v>99</v>
      </c>
      <c r="H120" s="2" t="s">
        <v>416</v>
      </c>
      <c r="I120" s="2" t="s">
        <v>27</v>
      </c>
      <c r="M120" s="20"/>
      <c r="O120" s="24"/>
      <c r="P120" s="2" t="s">
        <v>565</v>
      </c>
      <c r="Q120" s="14">
        <v>0.25</v>
      </c>
      <c r="R120" s="12" t="s">
        <v>574</v>
      </c>
      <c r="U120" s="30"/>
      <c r="Y120" s="2" t="s">
        <v>34</v>
      </c>
      <c r="Z120" t="s">
        <v>575</v>
      </c>
    </row>
    <row r="121" spans="1:26" x14ac:dyDescent="0.3">
      <c r="A121" s="2">
        <v>120</v>
      </c>
      <c r="B121" s="6">
        <v>46168</v>
      </c>
      <c r="C121" s="2" t="s">
        <v>14</v>
      </c>
      <c r="D121" s="2" t="s">
        <v>417</v>
      </c>
      <c r="E121" t="s">
        <v>418</v>
      </c>
      <c r="F121" s="2" t="s">
        <v>426</v>
      </c>
      <c r="G121" s="2" t="s">
        <v>427</v>
      </c>
      <c r="H121" s="2" t="s">
        <v>192</v>
      </c>
      <c r="I121" s="2" t="s">
        <v>27</v>
      </c>
      <c r="J121" s="7">
        <v>94277000</v>
      </c>
      <c r="M121" s="20"/>
      <c r="N121" s="17" t="e">
        <f>J121/#REF!</f>
        <v>#REF!</v>
      </c>
      <c r="O121" s="24">
        <v>0.3</v>
      </c>
      <c r="P121" s="2" t="s">
        <v>28</v>
      </c>
      <c r="Q121" s="14">
        <v>0.25</v>
      </c>
      <c r="R121" s="2" t="s">
        <v>562</v>
      </c>
      <c r="U121" s="30"/>
      <c r="Y121" s="2" t="s">
        <v>78</v>
      </c>
    </row>
    <row r="122" spans="1:26" x14ac:dyDescent="0.3">
      <c r="A122" s="2">
        <v>121</v>
      </c>
      <c r="B122" s="6">
        <v>46168</v>
      </c>
      <c r="C122" s="2" t="s">
        <v>14</v>
      </c>
      <c r="D122" s="2" t="s">
        <v>419</v>
      </c>
      <c r="E122" t="s">
        <v>121</v>
      </c>
      <c r="F122" s="2" t="s">
        <v>122</v>
      </c>
      <c r="G122" s="2" t="s">
        <v>60</v>
      </c>
      <c r="H122" s="2" t="s">
        <v>420</v>
      </c>
      <c r="I122" s="2" t="s">
        <v>27</v>
      </c>
      <c r="M122" s="20"/>
      <c r="O122" s="24"/>
      <c r="P122" s="2" t="s">
        <v>197</v>
      </c>
      <c r="Q122" s="14">
        <v>0</v>
      </c>
      <c r="U122" s="30"/>
      <c r="Y122" s="2" t="s">
        <v>125</v>
      </c>
      <c r="Z122" t="s">
        <v>421</v>
      </c>
    </row>
    <row r="123" spans="1:26" x14ac:dyDescent="0.3">
      <c r="A123" s="2">
        <v>122</v>
      </c>
      <c r="B123" s="6">
        <v>46168</v>
      </c>
      <c r="C123" s="2" t="s">
        <v>13</v>
      </c>
      <c r="D123" s="2" t="s">
        <v>422</v>
      </c>
      <c r="E123" t="s">
        <v>423</v>
      </c>
      <c r="F123" s="2" t="s">
        <v>36</v>
      </c>
      <c r="G123" s="2" t="s">
        <v>76</v>
      </c>
      <c r="H123" s="2" t="s">
        <v>424</v>
      </c>
      <c r="I123" s="2" t="s">
        <v>27</v>
      </c>
      <c r="J123" s="7">
        <v>161639000</v>
      </c>
      <c r="M123" s="20"/>
      <c r="N123" s="17" t="e">
        <f>J123/#REF!</f>
        <v>#REF!</v>
      </c>
      <c r="O123" s="24">
        <v>0.25</v>
      </c>
      <c r="P123" s="2" t="s">
        <v>28</v>
      </c>
      <c r="Q123" s="14">
        <v>0.25</v>
      </c>
      <c r="R123" s="2" t="s">
        <v>562</v>
      </c>
      <c r="U123" s="30"/>
      <c r="Y123" s="2" t="s">
        <v>78</v>
      </c>
      <c r="Z123" t="s">
        <v>517</v>
      </c>
    </row>
    <row r="124" spans="1:26" x14ac:dyDescent="0.3">
      <c r="A124" s="2">
        <v>123</v>
      </c>
      <c r="B124" s="6">
        <v>46170</v>
      </c>
      <c r="C124" s="2" t="s">
        <v>15</v>
      </c>
      <c r="D124" s="2" t="s">
        <v>425</v>
      </c>
      <c r="E124" t="s">
        <v>290</v>
      </c>
      <c r="F124" s="2" t="s">
        <v>64</v>
      </c>
      <c r="G124" s="2" t="s">
        <v>137</v>
      </c>
      <c r="H124" s="2" t="s">
        <v>138</v>
      </c>
      <c r="I124" s="2" t="s">
        <v>33</v>
      </c>
      <c r="J124" s="7">
        <v>3276128000</v>
      </c>
      <c r="M124" s="20"/>
      <c r="N124" s="17" t="e">
        <f>J124/#REF!</f>
        <v>#REF!</v>
      </c>
      <c r="O124" s="24">
        <v>0.25</v>
      </c>
      <c r="P124" s="2" t="s">
        <v>28</v>
      </c>
      <c r="Q124" s="14">
        <v>0.25</v>
      </c>
      <c r="R124" s="2" t="s">
        <v>559</v>
      </c>
      <c r="Y124" s="2" t="s">
        <v>66</v>
      </c>
      <c r="Z124" t="s">
        <v>428</v>
      </c>
    </row>
    <row r="125" spans="1:26" x14ac:dyDescent="0.3">
      <c r="A125" s="2">
        <v>124</v>
      </c>
      <c r="B125" s="6">
        <v>46170</v>
      </c>
      <c r="C125" s="2" t="s">
        <v>13</v>
      </c>
      <c r="D125" s="2" t="s">
        <v>429</v>
      </c>
      <c r="E125" t="s">
        <v>89</v>
      </c>
      <c r="F125" s="2" t="s">
        <v>64</v>
      </c>
      <c r="G125" s="2" t="s">
        <v>39</v>
      </c>
      <c r="H125" s="2" t="s">
        <v>430</v>
      </c>
      <c r="I125" s="2" t="s">
        <v>27</v>
      </c>
      <c r="J125" s="7">
        <v>223568000</v>
      </c>
      <c r="N125" s="17" t="e">
        <f>J125/#REF!</f>
        <v>#REF!</v>
      </c>
      <c r="O125" s="24">
        <v>0.3</v>
      </c>
      <c r="P125" s="2" t="s">
        <v>197</v>
      </c>
      <c r="Q125" s="14">
        <v>0</v>
      </c>
      <c r="R125" s="2" t="s">
        <v>559</v>
      </c>
      <c r="Y125" s="2" t="s">
        <v>34</v>
      </c>
      <c r="Z125" t="s">
        <v>576</v>
      </c>
    </row>
    <row r="126" spans="1:26" x14ac:dyDescent="0.3">
      <c r="A126" s="2">
        <v>125</v>
      </c>
      <c r="B126" s="6">
        <v>46170</v>
      </c>
      <c r="C126" s="2" t="s">
        <v>13</v>
      </c>
      <c r="D126" s="2" t="s">
        <v>431</v>
      </c>
      <c r="E126" t="s">
        <v>432</v>
      </c>
      <c r="F126" s="2" t="s">
        <v>433</v>
      </c>
      <c r="G126" s="2" t="s">
        <v>39</v>
      </c>
      <c r="H126" s="2" t="s">
        <v>430</v>
      </c>
      <c r="I126" s="2" t="s">
        <v>27</v>
      </c>
      <c r="J126" s="7">
        <v>28564000</v>
      </c>
      <c r="N126" s="17" t="e">
        <f>J126/#REF!</f>
        <v>#REF!</v>
      </c>
      <c r="O126" s="24">
        <v>0.25</v>
      </c>
      <c r="P126" s="2" t="s">
        <v>28</v>
      </c>
      <c r="Q126" s="14">
        <v>0.25</v>
      </c>
      <c r="R126" s="2" t="s">
        <v>512</v>
      </c>
      <c r="Y126" s="2" t="s">
        <v>78</v>
      </c>
      <c r="Z126" t="s">
        <v>589</v>
      </c>
    </row>
    <row r="127" spans="1:26" x14ac:dyDescent="0.3">
      <c r="A127" s="2">
        <v>126</v>
      </c>
      <c r="B127" s="6">
        <v>46171</v>
      </c>
      <c r="C127" s="2" t="s">
        <v>14</v>
      </c>
      <c r="D127" s="2" t="s">
        <v>434</v>
      </c>
      <c r="E127" t="s">
        <v>621</v>
      </c>
      <c r="F127" s="2" t="s">
        <v>122</v>
      </c>
      <c r="G127" s="2" t="s">
        <v>60</v>
      </c>
      <c r="H127" s="2" t="s">
        <v>435</v>
      </c>
      <c r="I127" s="2" t="s">
        <v>27</v>
      </c>
      <c r="O127" s="24"/>
      <c r="P127" s="2" t="s">
        <v>197</v>
      </c>
      <c r="Q127" s="14">
        <v>0</v>
      </c>
      <c r="U127" s="30"/>
      <c r="Y127" s="2" t="s">
        <v>125</v>
      </c>
      <c r="Z127" t="s">
        <v>436</v>
      </c>
    </row>
    <row r="128" spans="1:26" x14ac:dyDescent="0.3">
      <c r="A128" s="2">
        <v>127</v>
      </c>
      <c r="B128" s="6">
        <v>46175</v>
      </c>
      <c r="C128" s="2" t="s">
        <v>13</v>
      </c>
      <c r="D128" s="2" t="s">
        <v>440</v>
      </c>
      <c r="E128" t="s">
        <v>490</v>
      </c>
      <c r="F128" s="2" t="s">
        <v>36</v>
      </c>
      <c r="G128" s="2" t="s">
        <v>273</v>
      </c>
      <c r="H128" s="2" t="s">
        <v>441</v>
      </c>
      <c r="I128" s="2" t="s">
        <v>27</v>
      </c>
      <c r="J128" s="7">
        <v>178197000</v>
      </c>
      <c r="N128" s="17" t="e">
        <f>J128/#REF!</f>
        <v>#REF!</v>
      </c>
      <c r="O128" s="24">
        <v>0.2</v>
      </c>
      <c r="P128" s="2" t="s">
        <v>28</v>
      </c>
      <c r="Q128" s="14">
        <v>0.25</v>
      </c>
      <c r="R128" s="2" t="s">
        <v>130</v>
      </c>
      <c r="U128" s="30"/>
      <c r="Y128" s="2" t="s">
        <v>29</v>
      </c>
      <c r="Z128" t="s">
        <v>491</v>
      </c>
    </row>
    <row r="129" spans="1:26" x14ac:dyDescent="0.3">
      <c r="A129" s="2">
        <v>128</v>
      </c>
      <c r="B129" s="6">
        <v>46175</v>
      </c>
      <c r="C129" s="2" t="s">
        <v>13</v>
      </c>
      <c r="D129" s="2" t="s">
        <v>442</v>
      </c>
      <c r="E129" t="s">
        <v>443</v>
      </c>
      <c r="F129" s="2" t="s">
        <v>444</v>
      </c>
      <c r="G129" s="2" t="s">
        <v>445</v>
      </c>
      <c r="H129" s="2" t="s">
        <v>446</v>
      </c>
      <c r="I129" s="2" t="s">
        <v>27</v>
      </c>
      <c r="J129" s="7">
        <v>7329000</v>
      </c>
      <c r="N129" s="17" t="e">
        <f>J129/#REF!</f>
        <v>#REF!</v>
      </c>
      <c r="O129" s="24">
        <v>0.25</v>
      </c>
      <c r="P129" s="2" t="s">
        <v>28</v>
      </c>
      <c r="Q129" s="14">
        <v>0.25</v>
      </c>
      <c r="R129" s="2" t="s">
        <v>562</v>
      </c>
      <c r="U129" s="30"/>
      <c r="Y129" s="2" t="s">
        <v>78</v>
      </c>
      <c r="Z129" t="s">
        <v>590</v>
      </c>
    </row>
    <row r="130" spans="1:26" x14ac:dyDescent="0.3">
      <c r="A130" s="2">
        <v>129</v>
      </c>
      <c r="B130" s="6">
        <v>46176</v>
      </c>
      <c r="C130" s="2" t="s">
        <v>14</v>
      </c>
      <c r="D130" s="2" t="s">
        <v>447</v>
      </c>
      <c r="E130" t="s">
        <v>448</v>
      </c>
      <c r="F130" s="2" t="s">
        <v>122</v>
      </c>
      <c r="G130" s="2" t="s">
        <v>449</v>
      </c>
      <c r="H130" s="2" t="s">
        <v>450</v>
      </c>
      <c r="I130" s="2" t="s">
        <v>27</v>
      </c>
      <c r="J130" s="7">
        <v>16500000</v>
      </c>
      <c r="L130" s="33"/>
      <c r="N130" s="17" t="e">
        <f>J130/#REF!</f>
        <v>#REF!</v>
      </c>
      <c r="O130" s="24">
        <v>0.25</v>
      </c>
      <c r="P130" s="2" t="s">
        <v>28</v>
      </c>
      <c r="Q130" s="14">
        <v>0.5</v>
      </c>
      <c r="R130" s="2" t="s">
        <v>512</v>
      </c>
      <c r="U130" s="30"/>
      <c r="Y130" s="2" t="s">
        <v>125</v>
      </c>
      <c r="Z130" t="s">
        <v>591</v>
      </c>
    </row>
    <row r="131" spans="1:26" x14ac:dyDescent="0.3">
      <c r="A131" s="2">
        <v>130</v>
      </c>
      <c r="B131" s="6">
        <v>46176</v>
      </c>
      <c r="C131" s="2" t="s">
        <v>14</v>
      </c>
      <c r="D131" s="2" t="s">
        <v>451</v>
      </c>
      <c r="E131" t="s">
        <v>622</v>
      </c>
      <c r="F131" s="2" t="s">
        <v>122</v>
      </c>
      <c r="G131" s="2" t="s">
        <v>254</v>
      </c>
      <c r="H131" s="2" t="s">
        <v>452</v>
      </c>
      <c r="I131" s="2" t="s">
        <v>27</v>
      </c>
      <c r="J131" s="7">
        <v>124224000</v>
      </c>
      <c r="L131" s="33"/>
      <c r="N131" s="17" t="e">
        <f>J131/#REF!</f>
        <v>#REF!</v>
      </c>
      <c r="O131" s="24">
        <v>0.2</v>
      </c>
      <c r="P131" s="2" t="s">
        <v>28</v>
      </c>
      <c r="Q131" s="14">
        <v>0.5</v>
      </c>
      <c r="R131" s="2" t="s">
        <v>512</v>
      </c>
      <c r="U131" s="30"/>
      <c r="Y131" s="2" t="s">
        <v>125</v>
      </c>
    </row>
    <row r="132" spans="1:26" x14ac:dyDescent="0.3">
      <c r="A132" s="2">
        <v>131</v>
      </c>
      <c r="B132" s="6">
        <v>46176</v>
      </c>
      <c r="C132" s="2" t="s">
        <v>14</v>
      </c>
      <c r="D132" s="2" t="s">
        <v>453</v>
      </c>
      <c r="E132" t="s">
        <v>623</v>
      </c>
      <c r="F132" s="2" t="s">
        <v>122</v>
      </c>
      <c r="G132" s="2" t="s">
        <v>410</v>
      </c>
      <c r="H132" s="2" t="s">
        <v>320</v>
      </c>
      <c r="I132" s="2" t="s">
        <v>27</v>
      </c>
      <c r="N132" s="17" t="e">
        <f>J132/#REF!</f>
        <v>#REF!</v>
      </c>
      <c r="O132" s="24"/>
      <c r="P132" s="2" t="s">
        <v>28</v>
      </c>
      <c r="R132" s="12" t="s">
        <v>574</v>
      </c>
      <c r="U132" s="30"/>
      <c r="Y132" s="2" t="s">
        <v>125</v>
      </c>
      <c r="Z132" t="s">
        <v>454</v>
      </c>
    </row>
    <row r="133" spans="1:26" x14ac:dyDescent="0.3">
      <c r="A133" s="2">
        <v>132</v>
      </c>
      <c r="B133" s="6">
        <v>46178</v>
      </c>
      <c r="C133" s="2" t="s">
        <v>13</v>
      </c>
      <c r="D133" s="2" t="s">
        <v>457</v>
      </c>
      <c r="E133" t="s">
        <v>458</v>
      </c>
      <c r="F133" s="2" t="s">
        <v>459</v>
      </c>
      <c r="G133" s="2" t="s">
        <v>137</v>
      </c>
      <c r="H133" s="2" t="s">
        <v>138</v>
      </c>
      <c r="I133" s="2" t="s">
        <v>27</v>
      </c>
      <c r="J133" s="7">
        <v>1198532000</v>
      </c>
      <c r="L133" s="33"/>
      <c r="N133" s="17" t="e">
        <f>J133/#REF!</f>
        <v>#REF!</v>
      </c>
      <c r="O133" s="24">
        <v>0.25</v>
      </c>
      <c r="P133" s="2" t="s">
        <v>28</v>
      </c>
      <c r="Q133" s="14">
        <v>0.25</v>
      </c>
      <c r="R133" s="2" t="s">
        <v>559</v>
      </c>
      <c r="Y133" s="2" t="s">
        <v>66</v>
      </c>
      <c r="Z133" t="s">
        <v>468</v>
      </c>
    </row>
    <row r="134" spans="1:26" x14ac:dyDescent="0.3">
      <c r="A134" s="2">
        <v>133</v>
      </c>
      <c r="B134" s="6">
        <v>46178</v>
      </c>
      <c r="C134" s="2" t="s">
        <v>13</v>
      </c>
      <c r="D134" s="2" t="s">
        <v>456</v>
      </c>
      <c r="E134" t="s">
        <v>51</v>
      </c>
      <c r="F134" s="2" t="s">
        <v>37</v>
      </c>
      <c r="G134" s="2" t="s">
        <v>86</v>
      </c>
      <c r="H134" s="2" t="s">
        <v>455</v>
      </c>
      <c r="I134" s="2" t="s">
        <v>27</v>
      </c>
      <c r="J134" s="7">
        <v>2479000</v>
      </c>
      <c r="L134" s="33"/>
      <c r="M134" s="20"/>
      <c r="N134" s="34" t="e">
        <f>J134/#REF!</f>
        <v>#REF!</v>
      </c>
      <c r="O134" s="24">
        <v>0.2</v>
      </c>
      <c r="P134" s="2" t="s">
        <v>565</v>
      </c>
      <c r="Q134" s="14">
        <v>0.5</v>
      </c>
      <c r="R134" s="2" t="s">
        <v>130</v>
      </c>
      <c r="U134" s="30"/>
      <c r="Y134" s="2" t="s">
        <v>34</v>
      </c>
      <c r="Z134" t="s">
        <v>577</v>
      </c>
    </row>
    <row r="135" spans="1:26" x14ac:dyDescent="0.3">
      <c r="A135" s="2">
        <v>134</v>
      </c>
      <c r="B135" s="6">
        <v>46178</v>
      </c>
      <c r="C135" s="2" t="s">
        <v>14</v>
      </c>
      <c r="D135" s="2" t="s">
        <v>461</v>
      </c>
      <c r="E135" t="s">
        <v>522</v>
      </c>
      <c r="F135" s="2" t="s">
        <v>462</v>
      </c>
      <c r="G135" s="2" t="s">
        <v>463</v>
      </c>
      <c r="H135" s="2" t="s">
        <v>464</v>
      </c>
      <c r="I135" s="2" t="s">
        <v>33</v>
      </c>
      <c r="J135" s="7">
        <v>92275000</v>
      </c>
      <c r="N135" s="34" t="e">
        <f>J135/#REF!</f>
        <v>#REF!</v>
      </c>
      <c r="O135" s="24">
        <v>0.28000000000000003</v>
      </c>
      <c r="P135" s="2" t="s">
        <v>28</v>
      </c>
      <c r="Q135" s="14">
        <v>0.5</v>
      </c>
      <c r="R135" s="2" t="s">
        <v>512</v>
      </c>
      <c r="U135" s="30"/>
      <c r="Y135" s="2" t="s">
        <v>78</v>
      </c>
      <c r="Z135" t="s">
        <v>465</v>
      </c>
    </row>
    <row r="136" spans="1:26" x14ac:dyDescent="0.3">
      <c r="A136" s="2">
        <v>135</v>
      </c>
      <c r="B136" s="6">
        <v>46178</v>
      </c>
      <c r="C136" s="2" t="s">
        <v>13</v>
      </c>
      <c r="D136" s="2" t="s">
        <v>466</v>
      </c>
      <c r="E136" t="s">
        <v>467</v>
      </c>
      <c r="F136" s="2" t="s">
        <v>36</v>
      </c>
      <c r="G136" s="2" t="s">
        <v>94</v>
      </c>
      <c r="H136" s="2" t="s">
        <v>95</v>
      </c>
      <c r="I136" s="2" t="s">
        <v>27</v>
      </c>
      <c r="L136" s="33"/>
      <c r="N136" s="34" t="e">
        <f>J136/#REF!</f>
        <v>#REF!</v>
      </c>
      <c r="O136" s="24"/>
      <c r="P136" s="2" t="s">
        <v>28</v>
      </c>
      <c r="R136" s="2" t="s">
        <v>263</v>
      </c>
      <c r="U136" s="30"/>
      <c r="Y136" s="2" t="s">
        <v>29</v>
      </c>
      <c r="Z136" t="s">
        <v>468</v>
      </c>
    </row>
    <row r="137" spans="1:26" x14ac:dyDescent="0.3">
      <c r="A137" s="2">
        <v>136</v>
      </c>
      <c r="B137" s="6">
        <v>46178</v>
      </c>
      <c r="C137" s="2" t="s">
        <v>13</v>
      </c>
      <c r="D137" s="2" t="s">
        <v>469</v>
      </c>
      <c r="E137" t="s">
        <v>159</v>
      </c>
      <c r="F137" s="2" t="s">
        <v>36</v>
      </c>
      <c r="G137" s="2" t="s">
        <v>160</v>
      </c>
      <c r="H137" s="2" t="s">
        <v>279</v>
      </c>
      <c r="I137" s="2" t="s">
        <v>33</v>
      </c>
      <c r="J137" s="7">
        <v>1408154000</v>
      </c>
      <c r="L137" s="33"/>
      <c r="N137" s="34" t="e">
        <f>J137/#REF!</f>
        <v>#REF!</v>
      </c>
      <c r="O137" s="24">
        <v>0.2</v>
      </c>
      <c r="P137" s="2" t="s">
        <v>28</v>
      </c>
      <c r="Q137" s="14">
        <v>0.25</v>
      </c>
      <c r="R137" s="2" t="s">
        <v>559</v>
      </c>
      <c r="U137" s="30"/>
      <c r="Y137" s="2" t="s">
        <v>66</v>
      </c>
      <c r="Z137" t="s">
        <v>470</v>
      </c>
    </row>
    <row r="138" spans="1:26" x14ac:dyDescent="0.3">
      <c r="A138" s="2">
        <v>137</v>
      </c>
      <c r="B138" s="6">
        <v>46181</v>
      </c>
      <c r="C138" s="2" t="s">
        <v>13</v>
      </c>
      <c r="D138" s="2" t="s">
        <v>471</v>
      </c>
      <c r="E138" t="s">
        <v>472</v>
      </c>
      <c r="F138" s="2" t="s">
        <v>64</v>
      </c>
      <c r="G138" s="2" t="s">
        <v>332</v>
      </c>
      <c r="H138" s="2" t="s">
        <v>333</v>
      </c>
      <c r="I138" s="2" t="s">
        <v>27</v>
      </c>
      <c r="J138" s="7">
        <v>41286776</v>
      </c>
      <c r="N138" s="34" t="e">
        <f>J138/#REF!</f>
        <v>#REF!</v>
      </c>
      <c r="O138" s="24">
        <v>0.2</v>
      </c>
      <c r="P138" s="2" t="s">
        <v>28</v>
      </c>
      <c r="Q138" s="14">
        <v>0.5</v>
      </c>
      <c r="R138" s="2" t="s">
        <v>523</v>
      </c>
      <c r="Y138" s="2" t="s">
        <v>34</v>
      </c>
      <c r="Z138" t="s">
        <v>578</v>
      </c>
    </row>
    <row r="139" spans="1:26" x14ac:dyDescent="0.3">
      <c r="A139" s="2">
        <v>138</v>
      </c>
      <c r="B139" s="6">
        <v>46182</v>
      </c>
      <c r="C139" s="2" t="s">
        <v>11</v>
      </c>
      <c r="D139" s="2" t="s">
        <v>473</v>
      </c>
      <c r="E139" t="s">
        <v>472</v>
      </c>
      <c r="F139" s="2" t="s">
        <v>64</v>
      </c>
      <c r="G139" s="2" t="s">
        <v>474</v>
      </c>
      <c r="H139" s="2" t="s">
        <v>16</v>
      </c>
      <c r="I139" s="2" t="s">
        <v>33</v>
      </c>
      <c r="N139" s="34" t="e">
        <f>J139/#REF!</f>
        <v>#REF!</v>
      </c>
      <c r="O139" s="24"/>
      <c r="P139" s="2" t="s">
        <v>28</v>
      </c>
      <c r="R139" s="2" t="s">
        <v>263</v>
      </c>
      <c r="U139" s="30"/>
      <c r="Y139" s="2" t="s">
        <v>29</v>
      </c>
      <c r="Z139" t="s">
        <v>492</v>
      </c>
    </row>
    <row r="140" spans="1:26" x14ac:dyDescent="0.3">
      <c r="A140" s="2">
        <v>139</v>
      </c>
      <c r="B140" s="6">
        <v>46183</v>
      </c>
      <c r="C140" s="2" t="s">
        <v>13</v>
      </c>
      <c r="D140" s="2" t="s">
        <v>475</v>
      </c>
      <c r="E140" t="s">
        <v>476</v>
      </c>
      <c r="F140" s="2" t="s">
        <v>36</v>
      </c>
      <c r="G140" s="2" t="s">
        <v>39</v>
      </c>
      <c r="H140" s="2" t="s">
        <v>477</v>
      </c>
      <c r="I140" s="2" t="s">
        <v>33</v>
      </c>
      <c r="J140" s="7">
        <v>27137000</v>
      </c>
      <c r="N140" s="34" t="e">
        <f>J140/#REF!</f>
        <v>#REF!</v>
      </c>
      <c r="O140" s="24">
        <v>0.3</v>
      </c>
      <c r="P140" s="2" t="s">
        <v>28</v>
      </c>
      <c r="Q140" s="14">
        <v>0.25</v>
      </c>
      <c r="R140" s="2" t="s">
        <v>523</v>
      </c>
      <c r="Y140" s="2" t="s">
        <v>78</v>
      </c>
      <c r="Z140" t="s">
        <v>517</v>
      </c>
    </row>
    <row r="141" spans="1:26" x14ac:dyDescent="0.3">
      <c r="A141" s="2">
        <v>140</v>
      </c>
      <c r="B141" s="6">
        <v>46185</v>
      </c>
      <c r="C141" s="2" t="s">
        <v>13</v>
      </c>
      <c r="D141" s="2" t="s">
        <v>478</v>
      </c>
      <c r="E141" t="s">
        <v>479</v>
      </c>
      <c r="F141" s="2" t="s">
        <v>36</v>
      </c>
      <c r="G141" s="2" t="s">
        <v>94</v>
      </c>
      <c r="H141" s="2" t="s">
        <v>95</v>
      </c>
      <c r="I141" s="2" t="s">
        <v>27</v>
      </c>
      <c r="J141" s="7">
        <v>47910000</v>
      </c>
      <c r="N141" s="17" t="e">
        <f>J141/#REF!</f>
        <v>#REF!</v>
      </c>
      <c r="O141" s="24">
        <v>0.25</v>
      </c>
      <c r="P141" s="2" t="s">
        <v>28</v>
      </c>
      <c r="Q141" s="14">
        <v>0.25</v>
      </c>
      <c r="R141" s="2" t="s">
        <v>523</v>
      </c>
      <c r="U141" s="30"/>
      <c r="Y141" s="2" t="s">
        <v>78</v>
      </c>
      <c r="Z141" t="s">
        <v>480</v>
      </c>
    </row>
    <row r="142" spans="1:26" x14ac:dyDescent="0.3">
      <c r="A142" s="2">
        <v>141</v>
      </c>
      <c r="B142" s="6">
        <v>46185</v>
      </c>
      <c r="C142" s="2" t="s">
        <v>13</v>
      </c>
      <c r="D142" s="2" t="s">
        <v>481</v>
      </c>
      <c r="E142" t="s">
        <v>482</v>
      </c>
      <c r="F142" s="2" t="s">
        <v>36</v>
      </c>
      <c r="G142" s="2" t="s">
        <v>160</v>
      </c>
      <c r="H142" s="2" t="s">
        <v>483</v>
      </c>
      <c r="I142" s="2" t="s">
        <v>33</v>
      </c>
      <c r="N142" s="17" t="e">
        <f>J142/#REF!</f>
        <v>#REF!</v>
      </c>
      <c r="O142" s="24"/>
      <c r="P142" s="2" t="s">
        <v>28</v>
      </c>
      <c r="R142" s="2" t="s">
        <v>263</v>
      </c>
      <c r="Y142" s="2" t="s">
        <v>29</v>
      </c>
      <c r="Z142" t="s">
        <v>484</v>
      </c>
    </row>
    <row r="143" spans="1:26" x14ac:dyDescent="0.3">
      <c r="A143" s="2">
        <v>142</v>
      </c>
      <c r="B143" s="6">
        <v>46185</v>
      </c>
      <c r="C143" s="2" t="s">
        <v>13</v>
      </c>
      <c r="D143" s="2" t="s">
        <v>485</v>
      </c>
      <c r="E143" t="s">
        <v>486</v>
      </c>
      <c r="F143" s="2" t="s">
        <v>36</v>
      </c>
      <c r="G143" s="2" t="s">
        <v>487</v>
      </c>
      <c r="H143" s="2" t="s">
        <v>488</v>
      </c>
      <c r="I143" s="2" t="s">
        <v>33</v>
      </c>
      <c r="J143" s="7">
        <v>858720000</v>
      </c>
      <c r="N143" s="17" t="e">
        <f>J143/#REF!</f>
        <v>#REF!</v>
      </c>
      <c r="O143" s="24">
        <v>0.25</v>
      </c>
      <c r="P143" s="2" t="s">
        <v>28</v>
      </c>
      <c r="Q143" s="14">
        <v>0.25</v>
      </c>
      <c r="R143" s="2" t="s">
        <v>263</v>
      </c>
      <c r="U143" s="30"/>
      <c r="Y143" s="2" t="s">
        <v>29</v>
      </c>
      <c r="Z143" t="s">
        <v>489</v>
      </c>
    </row>
    <row r="144" spans="1:26" x14ac:dyDescent="0.3">
      <c r="A144" s="2">
        <v>143</v>
      </c>
      <c r="B144" s="6">
        <v>46188</v>
      </c>
      <c r="C144" s="2" t="s">
        <v>15</v>
      </c>
      <c r="D144" s="2" t="s">
        <v>493</v>
      </c>
      <c r="E144" t="s">
        <v>494</v>
      </c>
      <c r="F144" s="2" t="s">
        <v>64</v>
      </c>
      <c r="G144" s="2" t="s">
        <v>286</v>
      </c>
      <c r="H144" s="2" t="s">
        <v>381</v>
      </c>
      <c r="I144" s="2" t="s">
        <v>27</v>
      </c>
      <c r="J144" s="7">
        <v>25408000</v>
      </c>
      <c r="N144" s="17" t="e">
        <f>J144/#REF!</f>
        <v>#REF!</v>
      </c>
      <c r="O144" s="24">
        <v>0.3</v>
      </c>
      <c r="P144" s="2" t="s">
        <v>28</v>
      </c>
      <c r="Q144" s="14">
        <v>0.5</v>
      </c>
      <c r="R144" s="2" t="s">
        <v>523</v>
      </c>
      <c r="U144" s="30"/>
      <c r="Y144" s="2" t="s">
        <v>34</v>
      </c>
      <c r="Z144" t="s">
        <v>579</v>
      </c>
    </row>
    <row r="145" spans="1:26" x14ac:dyDescent="0.3">
      <c r="A145" s="2">
        <v>144</v>
      </c>
      <c r="B145" s="6">
        <v>46188</v>
      </c>
      <c r="C145" s="2" t="s">
        <v>13</v>
      </c>
      <c r="D145" s="2" t="s">
        <v>495</v>
      </c>
      <c r="E145" t="s">
        <v>496</v>
      </c>
      <c r="F145" s="2" t="s">
        <v>497</v>
      </c>
      <c r="G145" s="2" t="s">
        <v>94</v>
      </c>
      <c r="H145" s="2" t="s">
        <v>95</v>
      </c>
      <c r="I145" s="2" t="s">
        <v>27</v>
      </c>
      <c r="J145" s="7">
        <v>107753000</v>
      </c>
      <c r="N145" s="17" t="e">
        <f>J145/#REF!</f>
        <v>#REF!</v>
      </c>
      <c r="O145" s="24">
        <v>0.25</v>
      </c>
      <c r="P145" s="2" t="s">
        <v>28</v>
      </c>
      <c r="Q145" s="14">
        <v>0.25</v>
      </c>
      <c r="R145" s="2" t="s">
        <v>523</v>
      </c>
      <c r="U145" s="30"/>
      <c r="Y145" s="2" t="s">
        <v>78</v>
      </c>
      <c r="Z145" t="s">
        <v>498</v>
      </c>
    </row>
    <row r="146" spans="1:26" x14ac:dyDescent="0.3">
      <c r="A146" s="2">
        <v>145</v>
      </c>
      <c r="B146" s="6">
        <v>46188</v>
      </c>
      <c r="C146" s="2" t="s">
        <v>13</v>
      </c>
      <c r="D146" s="2" t="s">
        <v>499</v>
      </c>
      <c r="E146" t="s">
        <v>500</v>
      </c>
      <c r="F146" s="2" t="s">
        <v>36</v>
      </c>
      <c r="G146" s="2" t="s">
        <v>76</v>
      </c>
      <c r="H146" s="2" t="s">
        <v>501</v>
      </c>
      <c r="I146" s="2" t="s">
        <v>27</v>
      </c>
      <c r="J146" s="7">
        <v>551804000</v>
      </c>
      <c r="N146" s="17" t="e">
        <f>J146/#REF!</f>
        <v>#REF!</v>
      </c>
      <c r="O146" s="24">
        <v>0.25</v>
      </c>
      <c r="P146" s="2" t="s">
        <v>28</v>
      </c>
      <c r="Q146" s="14">
        <v>0.5</v>
      </c>
      <c r="R146" s="2" t="s">
        <v>130</v>
      </c>
      <c r="U146" s="30"/>
      <c r="Y146" s="2" t="s">
        <v>29</v>
      </c>
      <c r="Z146" t="s">
        <v>502</v>
      </c>
    </row>
    <row r="147" spans="1:26" x14ac:dyDescent="0.3">
      <c r="A147" s="2">
        <v>146</v>
      </c>
      <c r="B147" s="6">
        <v>46189</v>
      </c>
      <c r="C147" s="2" t="s">
        <v>14</v>
      </c>
      <c r="D147" s="2" t="s">
        <v>503</v>
      </c>
      <c r="E147" t="s">
        <v>624</v>
      </c>
      <c r="F147" s="2" t="s">
        <v>122</v>
      </c>
      <c r="G147" s="2" t="s">
        <v>410</v>
      </c>
      <c r="H147" s="2" t="s">
        <v>354</v>
      </c>
      <c r="I147" s="2" t="s">
        <v>27</v>
      </c>
      <c r="O147" s="24"/>
      <c r="P147" s="2" t="s">
        <v>28</v>
      </c>
      <c r="R147" s="12" t="s">
        <v>574</v>
      </c>
      <c r="U147" s="30"/>
      <c r="Y147" s="2" t="s">
        <v>125</v>
      </c>
      <c r="Z147" t="s">
        <v>504</v>
      </c>
    </row>
    <row r="148" spans="1:26" x14ac:dyDescent="0.3">
      <c r="A148" s="2">
        <v>147</v>
      </c>
      <c r="B148" s="6">
        <v>46190</v>
      </c>
      <c r="C148" s="2" t="s">
        <v>15</v>
      </c>
      <c r="D148" s="2" t="s">
        <v>526</v>
      </c>
      <c r="E148" t="s">
        <v>527</v>
      </c>
      <c r="F148" s="2" t="s">
        <v>59</v>
      </c>
      <c r="G148" s="2" t="s">
        <v>286</v>
      </c>
      <c r="H148" s="2" t="s">
        <v>528</v>
      </c>
      <c r="I148" s="2" t="s">
        <v>27</v>
      </c>
      <c r="O148" s="24"/>
      <c r="P148" s="2" t="s">
        <v>28</v>
      </c>
      <c r="R148" s="2" t="s">
        <v>130</v>
      </c>
      <c r="U148" s="30"/>
      <c r="Y148" s="2" t="s">
        <v>529</v>
      </c>
      <c r="Z148" t="s">
        <v>530</v>
      </c>
    </row>
    <row r="149" spans="1:26" x14ac:dyDescent="0.3">
      <c r="A149" s="2">
        <v>148</v>
      </c>
      <c r="B149" s="6">
        <v>46190</v>
      </c>
      <c r="C149" s="2" t="s">
        <v>13</v>
      </c>
      <c r="D149" s="2" t="s">
        <v>531</v>
      </c>
      <c r="E149" t="s">
        <v>532</v>
      </c>
      <c r="F149" s="2" t="s">
        <v>36</v>
      </c>
      <c r="G149" s="2" t="s">
        <v>94</v>
      </c>
      <c r="H149" s="2" t="s">
        <v>95</v>
      </c>
      <c r="I149" s="2" t="s">
        <v>27</v>
      </c>
      <c r="O149" s="24"/>
      <c r="P149" s="2" t="s">
        <v>28</v>
      </c>
      <c r="R149" s="2" t="s">
        <v>130</v>
      </c>
      <c r="Y149" s="2" t="s">
        <v>29</v>
      </c>
      <c r="Z149" t="s">
        <v>533</v>
      </c>
    </row>
    <row r="150" spans="1:26" x14ac:dyDescent="0.3">
      <c r="A150" s="2">
        <v>149</v>
      </c>
      <c r="B150" s="6">
        <v>46190</v>
      </c>
      <c r="C150" s="2" t="s">
        <v>13</v>
      </c>
      <c r="D150" s="2" t="s">
        <v>534</v>
      </c>
      <c r="E150" t="s">
        <v>415</v>
      </c>
      <c r="F150" s="2" t="s">
        <v>64</v>
      </c>
      <c r="G150" s="2" t="s">
        <v>99</v>
      </c>
      <c r="H150" s="2" t="s">
        <v>535</v>
      </c>
      <c r="I150" s="2" t="s">
        <v>27</v>
      </c>
      <c r="O150" s="24"/>
      <c r="P150" s="2" t="s">
        <v>565</v>
      </c>
      <c r="R150" s="12" t="s">
        <v>574</v>
      </c>
      <c r="U150" s="30"/>
      <c r="Y150" s="2" t="s">
        <v>34</v>
      </c>
      <c r="Z150" t="s">
        <v>580</v>
      </c>
    </row>
    <row r="151" spans="1:26" x14ac:dyDescent="0.3">
      <c r="A151" s="2">
        <v>150</v>
      </c>
      <c r="B151" s="6">
        <v>46192</v>
      </c>
      <c r="C151" s="2" t="s">
        <v>12</v>
      </c>
      <c r="D151" s="2" t="s">
        <v>536</v>
      </c>
      <c r="E151" t="s">
        <v>537</v>
      </c>
      <c r="F151" s="2" t="s">
        <v>59</v>
      </c>
      <c r="G151" s="2" t="s">
        <v>65</v>
      </c>
      <c r="H151" s="2" t="s">
        <v>538</v>
      </c>
      <c r="I151" s="2" t="s">
        <v>27</v>
      </c>
      <c r="O151" s="24"/>
      <c r="P151" s="2" t="s">
        <v>28</v>
      </c>
      <c r="R151" s="2" t="s">
        <v>130</v>
      </c>
      <c r="U151" s="30"/>
      <c r="Y151" s="2" t="s">
        <v>529</v>
      </c>
      <c r="Z151" t="s">
        <v>539</v>
      </c>
    </row>
    <row r="152" spans="1:26" x14ac:dyDescent="0.3">
      <c r="A152" s="2">
        <v>151</v>
      </c>
      <c r="B152" s="6">
        <v>46195</v>
      </c>
      <c r="C152" s="2" t="s">
        <v>13</v>
      </c>
      <c r="D152" s="2" t="s">
        <v>540</v>
      </c>
      <c r="E152" t="s">
        <v>541</v>
      </c>
      <c r="F152" s="2" t="s">
        <v>59</v>
      </c>
      <c r="G152" s="2" t="s">
        <v>542</v>
      </c>
      <c r="H152" s="2" t="s">
        <v>543</v>
      </c>
      <c r="I152" s="2" t="s">
        <v>27</v>
      </c>
      <c r="O152" s="24"/>
      <c r="P152" s="2" t="s">
        <v>197</v>
      </c>
      <c r="R152" s="2" t="s">
        <v>130</v>
      </c>
      <c r="U152" s="30"/>
      <c r="Y152" s="2" t="s">
        <v>529</v>
      </c>
      <c r="Z152" t="s">
        <v>544</v>
      </c>
    </row>
    <row r="153" spans="1:26" x14ac:dyDescent="0.3">
      <c r="A153" s="2">
        <v>152</v>
      </c>
      <c r="B153" s="6">
        <v>46195</v>
      </c>
      <c r="C153" s="2" t="s">
        <v>13</v>
      </c>
      <c r="D153" s="2" t="s">
        <v>545</v>
      </c>
      <c r="E153" t="s">
        <v>415</v>
      </c>
      <c r="F153" s="2" t="s">
        <v>64</v>
      </c>
      <c r="G153" s="2" t="s">
        <v>328</v>
      </c>
      <c r="H153" s="2" t="s">
        <v>259</v>
      </c>
      <c r="I153" s="2" t="s">
        <v>27</v>
      </c>
      <c r="J153" s="7">
        <v>111506000</v>
      </c>
      <c r="M153" s="20"/>
      <c r="N153" s="17" t="e">
        <f>J153/#REF!</f>
        <v>#REF!</v>
      </c>
      <c r="O153" s="24">
        <v>0.25</v>
      </c>
      <c r="P153" s="2" t="s">
        <v>28</v>
      </c>
      <c r="Q153" s="14">
        <v>0.5</v>
      </c>
      <c r="R153" s="2" t="s">
        <v>523</v>
      </c>
      <c r="U153" s="30"/>
      <c r="Y153" s="2" t="s">
        <v>34</v>
      </c>
      <c r="Z153" t="s">
        <v>578</v>
      </c>
    </row>
    <row r="154" spans="1:26" x14ac:dyDescent="0.3">
      <c r="A154" s="2">
        <v>153</v>
      </c>
      <c r="B154" s="6">
        <v>46196</v>
      </c>
      <c r="C154" s="2" t="s">
        <v>23</v>
      </c>
      <c r="D154" s="2" t="s">
        <v>546</v>
      </c>
      <c r="E154" t="s">
        <v>625</v>
      </c>
      <c r="F154" s="2" t="s">
        <v>122</v>
      </c>
      <c r="G154" s="2" t="s">
        <v>99</v>
      </c>
      <c r="H154" s="2" t="s">
        <v>123</v>
      </c>
      <c r="I154" s="2" t="s">
        <v>27</v>
      </c>
      <c r="J154" s="7">
        <v>31790000</v>
      </c>
      <c r="N154" s="17" t="e">
        <f>J154/#REF!</f>
        <v>#REF!</v>
      </c>
      <c r="O154" s="24">
        <v>0.15</v>
      </c>
      <c r="P154" s="2" t="s">
        <v>28</v>
      </c>
      <c r="Q154" s="14">
        <v>0.5</v>
      </c>
      <c r="R154" s="2" t="s">
        <v>512</v>
      </c>
      <c r="U154" s="30"/>
      <c r="Y154" s="2" t="s">
        <v>125</v>
      </c>
      <c r="Z154" t="s">
        <v>592</v>
      </c>
    </row>
    <row r="155" spans="1:26" x14ac:dyDescent="0.3">
      <c r="A155" s="2">
        <v>154</v>
      </c>
      <c r="B155" s="6">
        <v>46196</v>
      </c>
      <c r="C155" s="2" t="s">
        <v>11</v>
      </c>
      <c r="D155" s="2" t="s">
        <v>547</v>
      </c>
      <c r="E155" t="s">
        <v>548</v>
      </c>
      <c r="F155" s="2" t="s">
        <v>36</v>
      </c>
      <c r="G155" s="2" t="s">
        <v>549</v>
      </c>
      <c r="H155" s="2" t="s">
        <v>550</v>
      </c>
      <c r="I155" s="2" t="s">
        <v>27</v>
      </c>
      <c r="O155" s="24"/>
      <c r="P155" s="2" t="s">
        <v>28</v>
      </c>
      <c r="R155" s="2" t="s">
        <v>523</v>
      </c>
      <c r="U155" s="30"/>
      <c r="Y155" s="2" t="s">
        <v>29</v>
      </c>
      <c r="Z155" t="s">
        <v>551</v>
      </c>
    </row>
    <row r="156" spans="1:26" x14ac:dyDescent="0.3">
      <c r="A156" s="2">
        <v>155</v>
      </c>
      <c r="B156" s="6">
        <v>46196</v>
      </c>
      <c r="C156" s="2" t="s">
        <v>13</v>
      </c>
      <c r="D156" s="2" t="s">
        <v>552</v>
      </c>
      <c r="E156" t="s">
        <v>553</v>
      </c>
      <c r="F156" s="2" t="s">
        <v>36</v>
      </c>
      <c r="G156" s="2" t="s">
        <v>76</v>
      </c>
      <c r="H156" s="2" t="s">
        <v>554</v>
      </c>
      <c r="I156" s="2" t="s">
        <v>33</v>
      </c>
      <c r="O156" s="24"/>
      <c r="P156" s="2" t="s">
        <v>28</v>
      </c>
      <c r="R156" s="12" t="s">
        <v>574</v>
      </c>
      <c r="U156" s="30"/>
      <c r="Y156" s="2" t="s">
        <v>29</v>
      </c>
      <c r="Z156" t="s">
        <v>593</v>
      </c>
    </row>
    <row r="157" spans="1:26" x14ac:dyDescent="0.3">
      <c r="A157" s="2">
        <v>156</v>
      </c>
      <c r="B157" s="6">
        <v>46199</v>
      </c>
      <c r="C157" s="2" t="s">
        <v>13</v>
      </c>
      <c r="D157" s="2" t="s">
        <v>555</v>
      </c>
      <c r="E157" t="s">
        <v>556</v>
      </c>
      <c r="F157" s="2" t="s">
        <v>36</v>
      </c>
      <c r="G157" s="2" t="s">
        <v>557</v>
      </c>
      <c r="H157" s="2" t="s">
        <v>558</v>
      </c>
      <c r="I157" s="2" t="s">
        <v>27</v>
      </c>
      <c r="J157" s="7">
        <v>140344000</v>
      </c>
      <c r="N157" s="17" t="e">
        <f>J157/#REF!</f>
        <v>#REF!</v>
      </c>
      <c r="O157" s="24">
        <v>0.3</v>
      </c>
      <c r="P157" s="2" t="s">
        <v>28</v>
      </c>
      <c r="Q157" s="14">
        <v>0.25</v>
      </c>
      <c r="R157" s="2" t="s">
        <v>559</v>
      </c>
      <c r="Y157" s="2" t="s">
        <v>78</v>
      </c>
      <c r="Z157" t="s">
        <v>560</v>
      </c>
    </row>
    <row r="158" spans="1:26" x14ac:dyDescent="0.3">
      <c r="A158" s="2">
        <v>157</v>
      </c>
      <c r="B158" s="6">
        <v>46199</v>
      </c>
      <c r="C158" s="2" t="s">
        <v>13</v>
      </c>
      <c r="D158" s="2" t="s">
        <v>561</v>
      </c>
      <c r="E158" t="s">
        <v>541</v>
      </c>
      <c r="F158" s="2" t="s">
        <v>59</v>
      </c>
      <c r="G158" s="2" t="s">
        <v>99</v>
      </c>
      <c r="H158" s="2" t="s">
        <v>354</v>
      </c>
      <c r="I158" s="2" t="s">
        <v>27</v>
      </c>
      <c r="M158" s="20"/>
      <c r="O158" s="24"/>
      <c r="P158" s="2" t="s">
        <v>28</v>
      </c>
      <c r="R158" s="2" t="s">
        <v>562</v>
      </c>
      <c r="U158" s="30"/>
      <c r="Y158" s="2" t="s">
        <v>529</v>
      </c>
      <c r="Z158" t="s">
        <v>563</v>
      </c>
    </row>
    <row r="159" spans="1:26" x14ac:dyDescent="0.3">
      <c r="A159" s="2">
        <v>158</v>
      </c>
      <c r="B159" s="6">
        <v>46202</v>
      </c>
      <c r="C159" s="2" t="s">
        <v>13</v>
      </c>
      <c r="D159" s="2" t="s">
        <v>630</v>
      </c>
      <c r="E159" t="s">
        <v>631</v>
      </c>
      <c r="F159" s="2" t="s">
        <v>36</v>
      </c>
      <c r="G159" s="2" t="s">
        <v>76</v>
      </c>
      <c r="H159" s="2" t="s">
        <v>424</v>
      </c>
      <c r="I159" s="2" t="s">
        <v>27</v>
      </c>
      <c r="J159" s="7">
        <v>228387000</v>
      </c>
      <c r="N159" s="17" t="e">
        <f>J159/#REF!</f>
        <v>#REF!</v>
      </c>
      <c r="O159" s="24">
        <v>0.25</v>
      </c>
      <c r="P159" s="2" t="s">
        <v>28</v>
      </c>
      <c r="Q159" s="14">
        <v>0.5</v>
      </c>
      <c r="R159" s="2" t="s">
        <v>523</v>
      </c>
      <c r="U159" s="30"/>
      <c r="Y159" s="2" t="s">
        <v>78</v>
      </c>
      <c r="Z159" t="s">
        <v>632</v>
      </c>
    </row>
    <row r="160" spans="1:26" x14ac:dyDescent="0.3">
      <c r="A160" s="2">
        <v>159</v>
      </c>
      <c r="B160" s="6">
        <v>46203</v>
      </c>
      <c r="C160" s="2" t="s">
        <v>14</v>
      </c>
      <c r="D160" s="2" t="s">
        <v>633</v>
      </c>
      <c r="E160" t="s">
        <v>634</v>
      </c>
      <c r="F160" s="2" t="s">
        <v>36</v>
      </c>
      <c r="G160" s="2" t="s">
        <v>635</v>
      </c>
      <c r="H160" s="2" t="s">
        <v>636</v>
      </c>
      <c r="I160" s="2" t="s">
        <v>27</v>
      </c>
      <c r="J160" s="7">
        <v>16440000</v>
      </c>
      <c r="N160" s="17" t="e">
        <f>J160/#REF!</f>
        <v>#REF!</v>
      </c>
      <c r="O160" s="24">
        <v>0.3</v>
      </c>
      <c r="P160" s="2" t="s">
        <v>28</v>
      </c>
      <c r="Q160" s="14">
        <v>0.5</v>
      </c>
      <c r="R160" s="2" t="s">
        <v>523</v>
      </c>
      <c r="U160" s="30"/>
      <c r="Y160" s="2" t="s">
        <v>78</v>
      </c>
      <c r="Z160" t="s">
        <v>636</v>
      </c>
    </row>
    <row r="161" spans="1:26" x14ac:dyDescent="0.3">
      <c r="A161" s="2">
        <v>160</v>
      </c>
      <c r="B161" s="6">
        <v>46204</v>
      </c>
      <c r="C161" s="2" t="s">
        <v>13</v>
      </c>
      <c r="D161" s="2" t="s">
        <v>637</v>
      </c>
      <c r="E161" t="s">
        <v>638</v>
      </c>
      <c r="F161" s="2" t="s">
        <v>36</v>
      </c>
      <c r="G161" s="2" t="s">
        <v>76</v>
      </c>
      <c r="H161" s="2" t="s">
        <v>639</v>
      </c>
      <c r="I161" s="2" t="s">
        <v>27</v>
      </c>
      <c r="J161" s="7">
        <v>367400000</v>
      </c>
      <c r="N161" s="17" t="e">
        <f>J161/#REF!</f>
        <v>#REF!</v>
      </c>
      <c r="O161" s="24">
        <v>0.35</v>
      </c>
      <c r="P161" s="2" t="s">
        <v>28</v>
      </c>
      <c r="Q161" s="14">
        <v>0.5</v>
      </c>
      <c r="R161" s="2" t="s">
        <v>512</v>
      </c>
      <c r="U161" s="30"/>
      <c r="Y161" s="2" t="s">
        <v>29</v>
      </c>
      <c r="Z161" t="s">
        <v>640</v>
      </c>
    </row>
    <row r="162" spans="1:26" x14ac:dyDescent="0.3">
      <c r="A162" s="2">
        <v>161</v>
      </c>
      <c r="B162" s="6">
        <v>46205</v>
      </c>
      <c r="C162" s="2" t="s">
        <v>14</v>
      </c>
      <c r="D162" s="2" t="s">
        <v>641</v>
      </c>
      <c r="E162" t="s">
        <v>642</v>
      </c>
      <c r="F162" s="2" t="s">
        <v>59</v>
      </c>
      <c r="G162" s="2" t="s">
        <v>643</v>
      </c>
      <c r="H162" s="2" t="s">
        <v>644</v>
      </c>
      <c r="I162" s="2" t="s">
        <v>27</v>
      </c>
      <c r="J162" s="7">
        <v>4065373000</v>
      </c>
      <c r="N162" s="17" t="e">
        <f>J162/#REF!</f>
        <v>#REF!</v>
      </c>
      <c r="O162" s="24">
        <v>0.16</v>
      </c>
      <c r="P162" s="2" t="s">
        <v>28</v>
      </c>
      <c r="Q162" s="14">
        <v>0.25</v>
      </c>
      <c r="R162" s="2" t="s">
        <v>559</v>
      </c>
      <c r="U162" s="30"/>
      <c r="Y162" s="2" t="s">
        <v>529</v>
      </c>
      <c r="Z162" t="s">
        <v>645</v>
      </c>
    </row>
    <row r="163" spans="1:26" x14ac:dyDescent="0.3">
      <c r="A163" s="2">
        <v>162</v>
      </c>
      <c r="B163" s="6">
        <v>46205</v>
      </c>
      <c r="C163" s="2" t="s">
        <v>13</v>
      </c>
      <c r="D163" s="2" t="s">
        <v>646</v>
      </c>
      <c r="E163" t="s">
        <v>415</v>
      </c>
      <c r="F163" s="2" t="s">
        <v>64</v>
      </c>
      <c r="G163" s="2" t="s">
        <v>328</v>
      </c>
      <c r="H163" s="2" t="s">
        <v>259</v>
      </c>
      <c r="I163" s="2" t="s">
        <v>27</v>
      </c>
      <c r="O163" s="24"/>
      <c r="U163" s="30"/>
    </row>
    <row r="164" spans="1:26" x14ac:dyDescent="0.3">
      <c r="B164" s="6"/>
      <c r="F164" s="2"/>
      <c r="O164" s="24"/>
      <c r="U164" s="30"/>
    </row>
    <row r="165" spans="1:26" x14ac:dyDescent="0.3">
      <c r="B165" s="6"/>
      <c r="F165" s="2"/>
      <c r="O165" s="24"/>
      <c r="U165" s="30"/>
    </row>
    <row r="166" spans="1:26" x14ac:dyDescent="0.3">
      <c r="B166" s="6"/>
      <c r="F166" s="2"/>
      <c r="M166" s="20"/>
      <c r="O166" s="24"/>
      <c r="U166" s="30"/>
    </row>
    <row r="167" spans="1:26" x14ac:dyDescent="0.3">
      <c r="B167" s="6"/>
      <c r="F167" s="2"/>
      <c r="O167" s="24"/>
      <c r="U167" s="30"/>
    </row>
    <row r="168" spans="1:26" x14ac:dyDescent="0.3">
      <c r="B168" s="6"/>
      <c r="F168" s="2"/>
      <c r="O168" s="24"/>
      <c r="U168" s="30"/>
    </row>
    <row r="169" spans="1:26" x14ac:dyDescent="0.3">
      <c r="B169" s="6"/>
      <c r="F169" s="2"/>
      <c r="O169" s="24"/>
      <c r="U169" s="30"/>
    </row>
    <row r="170" spans="1:26" x14ac:dyDescent="0.3">
      <c r="B170" s="6"/>
      <c r="F170" s="2"/>
      <c r="O170" s="24"/>
      <c r="U170" s="30"/>
    </row>
    <row r="171" spans="1:26" x14ac:dyDescent="0.3">
      <c r="B171" s="6"/>
      <c r="F171" s="2"/>
      <c r="O171" s="24"/>
      <c r="U171" s="30"/>
    </row>
    <row r="172" spans="1:26" x14ac:dyDescent="0.3">
      <c r="B172" s="6"/>
      <c r="F172" s="2"/>
      <c r="O172" s="24"/>
      <c r="U172" s="30"/>
    </row>
    <row r="173" spans="1:26" x14ac:dyDescent="0.3">
      <c r="B173" s="6"/>
      <c r="F173" s="2"/>
      <c r="O173" s="24"/>
      <c r="U173" s="30"/>
    </row>
    <row r="174" spans="1:26" x14ac:dyDescent="0.3">
      <c r="B174" s="6"/>
      <c r="F174" s="2"/>
      <c r="O174" s="24"/>
      <c r="U174" s="30"/>
    </row>
    <row r="175" spans="1:26" x14ac:dyDescent="0.3">
      <c r="B175" s="6"/>
      <c r="F175" s="2"/>
      <c r="M175" s="20"/>
      <c r="O175" s="24"/>
      <c r="U175" s="30"/>
    </row>
    <row r="176" spans="1:26" x14ac:dyDescent="0.3">
      <c r="B176" s="6"/>
      <c r="F176" s="2"/>
      <c r="O176" s="24"/>
      <c r="U176" s="30"/>
    </row>
    <row r="177" spans="2:21" x14ac:dyDescent="0.3">
      <c r="B177" s="6"/>
      <c r="F177" s="2"/>
      <c r="O177" s="24"/>
      <c r="U177" s="30"/>
    </row>
    <row r="178" spans="2:21" x14ac:dyDescent="0.3">
      <c r="B178" s="6"/>
      <c r="F178" s="2"/>
      <c r="O178" s="24"/>
      <c r="U178" s="30"/>
    </row>
    <row r="179" spans="2:21" x14ac:dyDescent="0.3">
      <c r="B179" s="6"/>
      <c r="F179" s="2"/>
      <c r="O179" s="24"/>
      <c r="U179" s="31"/>
    </row>
    <row r="180" spans="2:21" x14ac:dyDescent="0.3">
      <c r="B180" s="6"/>
      <c r="F180" s="2"/>
      <c r="O180" s="24"/>
      <c r="U180" s="30"/>
    </row>
    <row r="181" spans="2:21" x14ac:dyDescent="0.3">
      <c r="B181" s="6"/>
      <c r="F181" s="2"/>
      <c r="O181" s="24"/>
      <c r="U181" s="31"/>
    </row>
    <row r="182" spans="2:21" x14ac:dyDescent="0.3">
      <c r="B182" s="6"/>
      <c r="F182" s="2"/>
      <c r="O182" s="24"/>
      <c r="U182" s="30"/>
    </row>
    <row r="183" spans="2:21" x14ac:dyDescent="0.3">
      <c r="B183" s="6"/>
      <c r="F183" s="2"/>
      <c r="O183" s="24"/>
      <c r="U183" s="30"/>
    </row>
    <row r="184" spans="2:21" x14ac:dyDescent="0.3">
      <c r="B184" s="6"/>
      <c r="F184" s="2"/>
      <c r="M184" s="35"/>
      <c r="O184" s="24"/>
      <c r="U184" s="30"/>
    </row>
    <row r="185" spans="2:21" x14ac:dyDescent="0.3">
      <c r="B185" s="6"/>
      <c r="F185" s="2"/>
      <c r="M185" s="20"/>
      <c r="O185" s="24"/>
      <c r="U185" s="30"/>
    </row>
    <row r="186" spans="2:21" x14ac:dyDescent="0.3">
      <c r="B186" s="6"/>
      <c r="F186" s="2"/>
      <c r="O186" s="24"/>
      <c r="U186" s="30"/>
    </row>
    <row r="187" spans="2:21" x14ac:dyDescent="0.3">
      <c r="B187" s="6"/>
      <c r="F187" s="2"/>
      <c r="M187" s="35"/>
      <c r="O187" s="24"/>
      <c r="U187" s="30"/>
    </row>
    <row r="188" spans="2:21" x14ac:dyDescent="0.3">
      <c r="B188" s="6"/>
      <c r="F188" s="2"/>
      <c r="O188" s="24"/>
      <c r="U188" s="30"/>
    </row>
    <row r="189" spans="2:21" x14ac:dyDescent="0.3">
      <c r="B189" s="6"/>
      <c r="F189" s="2"/>
      <c r="O189" s="24"/>
      <c r="U189" s="30"/>
    </row>
    <row r="190" spans="2:21" x14ac:dyDescent="0.3">
      <c r="B190" s="6"/>
      <c r="F190" s="2"/>
      <c r="O190" s="24"/>
      <c r="U190" s="31"/>
    </row>
    <row r="191" spans="2:21" x14ac:dyDescent="0.3">
      <c r="B191" s="6"/>
      <c r="F191" s="2"/>
      <c r="O191" s="24"/>
      <c r="U191" s="30"/>
    </row>
    <row r="192" spans="2:21" x14ac:dyDescent="0.3">
      <c r="B192" s="6"/>
      <c r="F192" s="2"/>
      <c r="O192" s="24"/>
      <c r="U192" s="30"/>
    </row>
    <row r="193" spans="1:21" x14ac:dyDescent="0.3">
      <c r="B193" s="6"/>
      <c r="F193" s="2"/>
      <c r="O193" s="24"/>
      <c r="U193" s="30"/>
    </row>
    <row r="194" spans="1:21" x14ac:dyDescent="0.3">
      <c r="B194" s="6"/>
      <c r="F194" s="2"/>
      <c r="O194" s="24"/>
      <c r="U194" s="30"/>
    </row>
    <row r="195" spans="1:21" x14ac:dyDescent="0.3">
      <c r="B195" s="6"/>
      <c r="F195" s="2"/>
      <c r="O195" s="24"/>
      <c r="U195" s="30"/>
    </row>
    <row r="196" spans="1:21" x14ac:dyDescent="0.3">
      <c r="B196" s="6"/>
      <c r="F196" s="2"/>
      <c r="O196" s="24"/>
      <c r="U196" s="30"/>
    </row>
    <row r="197" spans="1:21" x14ac:dyDescent="0.3">
      <c r="B197" s="6"/>
      <c r="F197" s="2"/>
      <c r="O197" s="24"/>
      <c r="U197" s="30"/>
    </row>
    <row r="198" spans="1:21" x14ac:dyDescent="0.3">
      <c r="B198" s="6"/>
      <c r="F198" s="2"/>
      <c r="O198" s="24"/>
      <c r="U198" s="30"/>
    </row>
    <row r="199" spans="1:21" x14ac:dyDescent="0.3">
      <c r="B199" s="6"/>
      <c r="F199" s="2"/>
      <c r="O199" s="24"/>
      <c r="U199" s="30"/>
    </row>
    <row r="200" spans="1:21" x14ac:dyDescent="0.3">
      <c r="B200" s="6"/>
      <c r="F200" s="2"/>
      <c r="O200" s="24"/>
      <c r="U200" s="30"/>
    </row>
    <row r="201" spans="1:21" x14ac:dyDescent="0.3">
      <c r="B201" s="6"/>
      <c r="F201" s="2"/>
      <c r="O201" s="24"/>
      <c r="U201" s="30"/>
    </row>
    <row r="202" spans="1:21" x14ac:dyDescent="0.3">
      <c r="B202" s="6"/>
      <c r="F202" s="2"/>
      <c r="J202" s="36"/>
      <c r="O202" s="24"/>
      <c r="U202" s="30"/>
    </row>
    <row r="203" spans="1:21" x14ac:dyDescent="0.3">
      <c r="B203" s="6"/>
      <c r="F203" s="2"/>
      <c r="O203" s="24"/>
      <c r="U203" s="30"/>
    </row>
    <row r="204" spans="1:21" x14ac:dyDescent="0.3">
      <c r="O204" s="2"/>
      <c r="U204" s="30"/>
    </row>
    <row r="205" spans="1:21" x14ac:dyDescent="0.3">
      <c r="A205" s="2">
        <v>202</v>
      </c>
      <c r="O205" s="2"/>
      <c r="U205" s="30"/>
    </row>
    <row r="206" spans="1:21" x14ac:dyDescent="0.3">
      <c r="A206" s="2">
        <v>203</v>
      </c>
      <c r="O206" s="2"/>
    </row>
    <row r="207" spans="1:21" x14ac:dyDescent="0.3">
      <c r="A207" s="2">
        <v>204</v>
      </c>
      <c r="O207" s="2"/>
    </row>
    <row r="208" spans="1:21" x14ac:dyDescent="0.3">
      <c r="A208" s="2">
        <v>205</v>
      </c>
      <c r="O208" s="2"/>
    </row>
    <row r="209" spans="1:15" x14ac:dyDescent="0.3">
      <c r="A209" s="2">
        <v>206</v>
      </c>
      <c r="O209" s="2"/>
    </row>
    <row r="210" spans="1:15" x14ac:dyDescent="0.3">
      <c r="A210" s="2">
        <v>207</v>
      </c>
      <c r="O210" s="2"/>
    </row>
    <row r="211" spans="1:15" x14ac:dyDescent="0.3">
      <c r="A211" s="2">
        <v>208</v>
      </c>
      <c r="O211" s="2"/>
    </row>
    <row r="212" spans="1:15" x14ac:dyDescent="0.3">
      <c r="A212" s="2">
        <v>209</v>
      </c>
      <c r="O212" s="2"/>
    </row>
    <row r="213" spans="1:15" x14ac:dyDescent="0.3">
      <c r="A213" s="2">
        <v>210</v>
      </c>
      <c r="O213" s="2"/>
    </row>
    <row r="214" spans="1:15" x14ac:dyDescent="0.3">
      <c r="A214" s="2">
        <v>211</v>
      </c>
      <c r="O214" s="2"/>
    </row>
    <row r="215" spans="1:15" x14ac:dyDescent="0.3">
      <c r="A215" s="2">
        <v>212</v>
      </c>
      <c r="O215" s="2"/>
    </row>
    <row r="216" spans="1:15" x14ac:dyDescent="0.3">
      <c r="A216" s="2">
        <v>213</v>
      </c>
      <c r="O216" s="2"/>
    </row>
    <row r="217" spans="1:15" x14ac:dyDescent="0.3">
      <c r="A217" s="2">
        <v>214</v>
      </c>
      <c r="O217" s="2"/>
    </row>
    <row r="218" spans="1:15" x14ac:dyDescent="0.3">
      <c r="A218" s="2">
        <v>215</v>
      </c>
      <c r="O218" s="2"/>
    </row>
    <row r="219" spans="1:15" x14ac:dyDescent="0.3">
      <c r="A219" s="2">
        <v>216</v>
      </c>
      <c r="O219" s="2"/>
    </row>
    <row r="220" spans="1:15" x14ac:dyDescent="0.3">
      <c r="A220" s="2">
        <v>217</v>
      </c>
      <c r="O220" s="2"/>
    </row>
    <row r="221" spans="1:15" x14ac:dyDescent="0.3">
      <c r="A221" s="2">
        <v>218</v>
      </c>
      <c r="O221" s="2"/>
    </row>
    <row r="222" spans="1:15" x14ac:dyDescent="0.3">
      <c r="A222" s="2">
        <v>219</v>
      </c>
      <c r="O222" s="2"/>
    </row>
    <row r="223" spans="1:15" x14ac:dyDescent="0.3">
      <c r="A223" s="2">
        <v>220</v>
      </c>
      <c r="O223" s="2"/>
    </row>
    <row r="224" spans="1:15" x14ac:dyDescent="0.3">
      <c r="A224" s="2">
        <v>221</v>
      </c>
      <c r="O224" s="2"/>
    </row>
    <row r="225" spans="1:15" x14ac:dyDescent="0.3">
      <c r="A225" s="2">
        <v>222</v>
      </c>
      <c r="O225" s="2"/>
    </row>
    <row r="226" spans="1:15" x14ac:dyDescent="0.3">
      <c r="A226" s="2">
        <v>223</v>
      </c>
      <c r="O226" s="2"/>
    </row>
    <row r="227" spans="1:15" x14ac:dyDescent="0.3">
      <c r="A227" s="2">
        <v>224</v>
      </c>
      <c r="O227" s="2"/>
    </row>
    <row r="228" spans="1:15" x14ac:dyDescent="0.3">
      <c r="A228" s="2">
        <v>225</v>
      </c>
      <c r="O228" s="2"/>
    </row>
    <row r="229" spans="1:15" x14ac:dyDescent="0.3">
      <c r="A229" s="2">
        <v>226</v>
      </c>
      <c r="O229" s="2"/>
    </row>
    <row r="230" spans="1:15" x14ac:dyDescent="0.3">
      <c r="A230" s="2">
        <v>227</v>
      </c>
      <c r="O230" s="2"/>
    </row>
  </sheetData>
  <phoneticPr fontId="4" type="noConversion"/>
  <conditionalFormatting sqref="P2:P295">
    <cfRule type="containsText" dxfId="4" priority="6" operator="containsText" text="other">
      <formula>NOT(ISERROR(SEARCH("other",P2)))</formula>
    </cfRule>
    <cfRule type="containsText" dxfId="3" priority="7" operator="containsText" text="won">
      <formula>NOT(ISERROR(SEARCH("won",P2)))</formula>
    </cfRule>
    <cfRule type="containsText" dxfId="2" priority="8" operator="containsText" text="Lost">
      <formula>NOT(ISERROR(SEARCH("Lost",P2)))</formula>
    </cfRule>
  </conditionalFormatting>
  <conditionalFormatting sqref="P157">
    <cfRule type="containsText" dxfId="1" priority="1" operator="containsText" text="other">
      <formula>NOT(ISERROR(SEARCH("other",P157)))</formula>
    </cfRule>
    <cfRule type="containsText" dxfId="0" priority="2" operator="containsText" text="Lost">
      <formula>NOT(ISERROR(SEARCH("Lost",P157)))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Qing</dc:creator>
  <cp:lastModifiedBy>Anton Setiawan</cp:lastModifiedBy>
  <dcterms:created xsi:type="dcterms:W3CDTF">2015-06-05T18:17:20Z</dcterms:created>
  <dcterms:modified xsi:type="dcterms:W3CDTF">2026-07-05T06:32:16Z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18441</vt:lpwstr>
  </property>
</Properties>
</file>