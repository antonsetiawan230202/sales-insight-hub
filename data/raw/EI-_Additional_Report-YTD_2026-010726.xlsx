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.setiawan\Downloads\"/>
    </mc:Choice>
  </mc:AlternateContent>
  <xr:revisionPtr revIDLastSave="0" documentId="13_ncr:1_{BD28F29E-B986-4CB3-8C1B-AD5F00B239CC}" xr6:coauthVersionLast="47" xr6:coauthVersionMax="47" xr10:uidLastSave="{00000000-0000-0000-0000-000000000000}"/>
  <bookViews>
    <workbookView xWindow="-108" yWindow="-108" windowWidth="23256" windowHeight="13896" tabRatio="758" firstSheet="4" activeTab="5" xr2:uid="{C8CA6F04-3232-4198-AECB-EFF47143EBFC}"/>
  </bookViews>
  <sheets>
    <sheet name="Order intake 2024" sheetId="4" state="hidden" r:id="rId1"/>
    <sheet name="May 2025" sheetId="3" state="hidden" r:id="rId2"/>
    <sheet name="Jun 2025" sheetId="8" state="hidden" r:id="rId3"/>
    <sheet name="Order Book" sheetId="2" state="hidden" r:id="rId4"/>
    <sheet name="PIVOT-CUSTOMER" sheetId="12" r:id="rId5"/>
    <sheet name="Order Booking &gt; Billing  2026" sheetId="9" r:id="rId6"/>
    <sheet name="QC Reporting " sheetId="5" r:id="rId7"/>
    <sheet name="Backlog Checking" sheetId="7" r:id="rId8"/>
    <sheet name="Sales-MTD" sheetId="6" r:id="rId9"/>
    <sheet name="INV" sheetId="11" r:id="rId10"/>
    <sheet name="Sheet2" sheetId="10" r:id="rId11"/>
    <sheet name="PROFIT SHARING" sheetId="13" r:id="rId12"/>
  </sheets>
  <externalReferences>
    <externalReference r:id="rId13"/>
  </externalReferences>
  <definedNames>
    <definedName name="_xlnm._FilterDatabase" localSheetId="2" hidden="1">'Jun 2025'!$A$3:$P$26</definedName>
    <definedName name="_xlnm._FilterDatabase" localSheetId="1" hidden="1">'May 2025'!$B$3:$R$25</definedName>
    <definedName name="_xlnm._FilterDatabase" localSheetId="5" hidden="1">'Order Booking &gt; Billing  2026'!$A$3:$Z$62</definedName>
    <definedName name="_xlnm.Print_Area" localSheetId="3">'Order Book'!$A$1:$I$20</definedName>
  </definedNames>
  <calcPr calcId="191029" iterate="1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7" i="9" l="1"/>
  <c r="F67" i="9"/>
  <c r="C2" i="9"/>
  <c r="C71" i="9"/>
  <c r="C72" i="9"/>
  <c r="H8" i="5" s="1"/>
  <c r="H9" i="5"/>
  <c r="H9" i="6"/>
  <c r="E9" i="6"/>
  <c r="J45" i="11"/>
  <c r="I45" i="11"/>
  <c r="H45" i="11"/>
  <c r="I27" i="11"/>
  <c r="J27" i="11" s="1"/>
  <c r="H40" i="11"/>
  <c r="J39" i="11"/>
  <c r="I39" i="11"/>
  <c r="I37" i="11"/>
  <c r="J37" i="11" s="1"/>
  <c r="J36" i="11"/>
  <c r="J35" i="11"/>
  <c r="J34" i="11"/>
  <c r="J33" i="11"/>
  <c r="I33" i="11"/>
  <c r="D53" i="9"/>
  <c r="D52" i="9"/>
  <c r="I38" i="11" l="1"/>
  <c r="J38" i="11" s="1"/>
  <c r="J40" i="11" s="1"/>
  <c r="I40" i="11" l="1"/>
  <c r="D51" i="9" l="1"/>
  <c r="D50" i="9"/>
  <c r="H78" i="9"/>
  <c r="H77" i="9"/>
  <c r="H76" i="9"/>
  <c r="H75" i="9"/>
  <c r="H74" i="9"/>
  <c r="H73" i="9"/>
  <c r="H72" i="9"/>
  <c r="H71" i="9"/>
  <c r="H70" i="9"/>
  <c r="H69" i="9"/>
  <c r="H68" i="9"/>
  <c r="C67" i="9"/>
  <c r="C75" i="9"/>
  <c r="D78" i="9"/>
  <c r="C78" i="9"/>
  <c r="D77" i="9"/>
  <c r="C77" i="9"/>
  <c r="D76" i="9"/>
  <c r="C76" i="9"/>
  <c r="C70" i="9"/>
  <c r="C69" i="9"/>
  <c r="C86" i="9"/>
  <c r="J68" i="9"/>
  <c r="J67" i="9"/>
  <c r="AC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4" i="9"/>
  <c r="D49" i="9" l="1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5" i="9"/>
  <c r="D4" i="9"/>
  <c r="H32" i="11"/>
  <c r="E8" i="6" s="1"/>
  <c r="I31" i="11"/>
  <c r="J31" i="11" s="1"/>
  <c r="I30" i="11"/>
  <c r="J30" i="11" s="1"/>
  <c r="I29" i="11"/>
  <c r="J29" i="11" s="1"/>
  <c r="I28" i="11"/>
  <c r="J28" i="11" s="1"/>
  <c r="J26" i="11"/>
  <c r="D2" i="9" l="1"/>
  <c r="J32" i="11"/>
  <c r="I32" i="11"/>
  <c r="D71" i="9"/>
  <c r="G8" i="5"/>
  <c r="H25" i="11" l="1"/>
  <c r="E7" i="6" s="1"/>
  <c r="J39" i="9"/>
  <c r="I39" i="9"/>
  <c r="F8" i="5"/>
  <c r="F69" i="9"/>
  <c r="E37" i="5" l="1"/>
  <c r="H18" i="11"/>
  <c r="E6" i="6" s="1"/>
  <c r="I24" i="11"/>
  <c r="J24" i="11" s="1"/>
  <c r="I23" i="11"/>
  <c r="J23" i="11" s="1"/>
  <c r="I22" i="11"/>
  <c r="J22" i="11" s="1"/>
  <c r="I21" i="11"/>
  <c r="J21" i="11" s="1"/>
  <c r="I20" i="11"/>
  <c r="J20" i="11" s="1"/>
  <c r="I19" i="11"/>
  <c r="I17" i="11"/>
  <c r="J17" i="11" s="1"/>
  <c r="I16" i="11"/>
  <c r="J16" i="11" s="1"/>
  <c r="I15" i="11"/>
  <c r="J15" i="11" s="1"/>
  <c r="I14" i="11"/>
  <c r="J14" i="11" s="1"/>
  <c r="J13" i="11"/>
  <c r="J12" i="11"/>
  <c r="I41" i="11"/>
  <c r="J41" i="11" s="1"/>
  <c r="I42" i="11"/>
  <c r="J42" i="11" s="1"/>
  <c r="I43" i="11"/>
  <c r="J43" i="11" s="1"/>
  <c r="I44" i="11"/>
  <c r="J44" i="11" s="1"/>
  <c r="I25" i="11" l="1"/>
  <c r="J19" i="11"/>
  <c r="J25" i="11" s="1"/>
  <c r="J18" i="11"/>
  <c r="I18" i="11"/>
  <c r="F78" i="9"/>
  <c r="F77" i="9"/>
  <c r="F76" i="9"/>
  <c r="F75" i="9"/>
  <c r="F74" i="9"/>
  <c r="F73" i="9"/>
  <c r="F72" i="9"/>
  <c r="F71" i="9"/>
  <c r="F70" i="9"/>
  <c r="F68" i="9"/>
  <c r="D75" i="9"/>
  <c r="C74" i="9"/>
  <c r="H11" i="11"/>
  <c r="E5" i="6" s="1"/>
  <c r="K10" i="11"/>
  <c r="I10" i="11" s="1"/>
  <c r="J10" i="11" l="1"/>
  <c r="J11" i="11" s="1"/>
  <c r="I11" i="11"/>
  <c r="V6" i="9"/>
  <c r="J29" i="9" l="1"/>
  <c r="I29" i="9"/>
  <c r="V29" i="9" s="1"/>
  <c r="I30" i="9"/>
  <c r="V30" i="9" s="1"/>
  <c r="H9" i="11"/>
  <c r="I6" i="11"/>
  <c r="I8" i="11"/>
  <c r="J8" i="11" s="1"/>
  <c r="I7" i="11"/>
  <c r="J7" i="11" s="1"/>
  <c r="J16" i="9"/>
  <c r="J15" i="9"/>
  <c r="J14" i="9"/>
  <c r="J13" i="9"/>
  <c r="J11" i="9"/>
  <c r="J10" i="9"/>
  <c r="J9" i="9"/>
  <c r="J7" i="9"/>
  <c r="J4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8" i="9"/>
  <c r="J37" i="9"/>
  <c r="J36" i="9"/>
  <c r="J35" i="9"/>
  <c r="J31" i="9"/>
  <c r="J30" i="9"/>
  <c r="J28" i="9"/>
  <c r="J26" i="9"/>
  <c r="J25" i="9"/>
  <c r="J24" i="9"/>
  <c r="J23" i="9"/>
  <c r="J22" i="9"/>
  <c r="J20" i="9"/>
  <c r="J19" i="9"/>
  <c r="J18" i="9"/>
  <c r="J17" i="9"/>
  <c r="J12" i="9"/>
  <c r="J8" i="9"/>
  <c r="J5" i="9"/>
  <c r="I56" i="9"/>
  <c r="I55" i="9"/>
  <c r="I54" i="9"/>
  <c r="I53" i="9"/>
  <c r="I52" i="9"/>
  <c r="V52" i="9" s="1"/>
  <c r="I51" i="9"/>
  <c r="V51" i="9" s="1"/>
  <c r="I50" i="9"/>
  <c r="V50" i="9" s="1"/>
  <c r="I49" i="9"/>
  <c r="V49" i="9" s="1"/>
  <c r="I48" i="9"/>
  <c r="V48" i="9" s="1"/>
  <c r="I47" i="9"/>
  <c r="V47" i="9" s="1"/>
  <c r="I46" i="9"/>
  <c r="V46" i="9" s="1"/>
  <c r="I45" i="9"/>
  <c r="V45" i="9" s="1"/>
  <c r="I44" i="9"/>
  <c r="V44" i="9" s="1"/>
  <c r="I43" i="9"/>
  <c r="V43" i="9" s="1"/>
  <c r="I42" i="9"/>
  <c r="V42" i="9" s="1"/>
  <c r="I41" i="9"/>
  <c r="V41" i="9" s="1"/>
  <c r="I40" i="9"/>
  <c r="V40" i="9" s="1"/>
  <c r="V39" i="9"/>
  <c r="I38" i="9"/>
  <c r="V38" i="9" s="1"/>
  <c r="I37" i="9"/>
  <c r="V37" i="9" s="1"/>
  <c r="I36" i="9"/>
  <c r="V36" i="9" s="1"/>
  <c r="I35" i="9"/>
  <c r="V35" i="9" s="1"/>
  <c r="I34" i="9"/>
  <c r="V34" i="9" s="1"/>
  <c r="I33" i="9"/>
  <c r="V33" i="9" s="1"/>
  <c r="I32" i="9"/>
  <c r="V32" i="9" s="1"/>
  <c r="I31" i="9"/>
  <c r="V31" i="9" s="1"/>
  <c r="I28" i="9"/>
  <c r="V28" i="9" s="1"/>
  <c r="I27" i="9"/>
  <c r="V27" i="9" s="1"/>
  <c r="I26" i="9"/>
  <c r="V26" i="9" s="1"/>
  <c r="I25" i="9"/>
  <c r="V25" i="9" s="1"/>
  <c r="I24" i="9"/>
  <c r="V24" i="9" s="1"/>
  <c r="I23" i="9"/>
  <c r="V23" i="9" s="1"/>
  <c r="I22" i="9"/>
  <c r="V22" i="9" s="1"/>
  <c r="I21" i="9"/>
  <c r="V21" i="9" s="1"/>
  <c r="I20" i="9"/>
  <c r="V20" i="9" s="1"/>
  <c r="I19" i="9"/>
  <c r="V19" i="9" s="1"/>
  <c r="I18" i="9"/>
  <c r="V18" i="9" s="1"/>
  <c r="I17" i="9"/>
  <c r="V17" i="9" s="1"/>
  <c r="I16" i="9"/>
  <c r="V16" i="9" s="1"/>
  <c r="I15" i="9"/>
  <c r="V15" i="9" s="1"/>
  <c r="I14" i="9"/>
  <c r="V14" i="9" s="1"/>
  <c r="I13" i="9"/>
  <c r="V13" i="9" s="1"/>
  <c r="I12" i="9"/>
  <c r="V12" i="9" s="1"/>
  <c r="I11" i="9"/>
  <c r="V11" i="9" s="1"/>
  <c r="I10" i="9"/>
  <c r="V10" i="9" s="1"/>
  <c r="I9" i="9"/>
  <c r="V9" i="9" s="1"/>
  <c r="I8" i="9"/>
  <c r="V8" i="9" s="1"/>
  <c r="I5" i="9"/>
  <c r="I4" i="9"/>
  <c r="I7" i="9"/>
  <c r="V7" i="9" s="1"/>
  <c r="J27" i="9"/>
  <c r="J21" i="9"/>
  <c r="J32" i="9"/>
  <c r="J33" i="9"/>
  <c r="J34" i="9"/>
  <c r="D70" i="9"/>
  <c r="B10" i="5"/>
  <c r="C57" i="9" s="1"/>
  <c r="G12" i="6"/>
  <c r="I12" i="6" s="1"/>
  <c r="G13" i="6"/>
  <c r="I13" i="6" s="1"/>
  <c r="G14" i="6"/>
  <c r="I14" i="6" s="1"/>
  <c r="G5" i="6"/>
  <c r="G6" i="6"/>
  <c r="G7" i="6"/>
  <c r="G8" i="6"/>
  <c r="G9" i="6"/>
  <c r="I9" i="6" s="1"/>
  <c r="G10" i="6"/>
  <c r="J51" i="7" s="1"/>
  <c r="L51" i="7" s="1"/>
  <c r="L76" i="7"/>
  <c r="L75" i="7"/>
  <c r="L56" i="7"/>
  <c r="E35" i="7"/>
  <c r="E34" i="7"/>
  <c r="E33" i="7"/>
  <c r="B28" i="7"/>
  <c r="E27" i="7"/>
  <c r="E26" i="7"/>
  <c r="E32" i="7" s="1"/>
  <c r="E25" i="7"/>
  <c r="B25" i="7"/>
  <c r="C23" i="7"/>
  <c r="C31" i="7" s="1"/>
  <c r="D34" i="7" s="1"/>
  <c r="E21" i="7"/>
  <c r="E20" i="7"/>
  <c r="D20" i="7"/>
  <c r="E19" i="7"/>
  <c r="D19" i="7"/>
  <c r="E18" i="7"/>
  <c r="E24" i="7" s="1"/>
  <c r="B15" i="7"/>
  <c r="F13" i="7"/>
  <c r="F20" i="7" s="1"/>
  <c r="F26" i="7" s="1"/>
  <c r="F34" i="7" s="1"/>
  <c r="D13" i="7"/>
  <c r="G13" i="7" s="1"/>
  <c r="F12" i="7"/>
  <c r="F19" i="7" s="1"/>
  <c r="D12" i="7"/>
  <c r="G12" i="7" s="1"/>
  <c r="P8" i="7"/>
  <c r="B8" i="7"/>
  <c r="B11" i="7" s="1"/>
  <c r="F11" i="7" s="1"/>
  <c r="F18" i="7" s="1"/>
  <c r="J8" i="7"/>
  <c r="O8" i="7" s="1"/>
  <c r="F7" i="7"/>
  <c r="D7" i="7"/>
  <c r="G7" i="7" s="1"/>
  <c r="O6" i="7"/>
  <c r="P6" i="7" s="1"/>
  <c r="L6" i="7"/>
  <c r="F6" i="7"/>
  <c r="D6" i="7"/>
  <c r="G6" i="7" s="1"/>
  <c r="O5" i="7"/>
  <c r="P5" i="7" s="1"/>
  <c r="L5" i="7"/>
  <c r="F5" i="7"/>
  <c r="D5" i="7"/>
  <c r="G5" i="7" s="1"/>
  <c r="G4" i="7"/>
  <c r="F4" i="7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O26" i="5"/>
  <c r="O25" i="5"/>
  <c r="O24" i="5"/>
  <c r="N20" i="5"/>
  <c r="B17" i="5"/>
  <c r="B16" i="5"/>
  <c r="B18" i="5" s="1"/>
  <c r="C15" i="5" s="1"/>
  <c r="D15" i="5" s="1"/>
  <c r="E15" i="5" s="1"/>
  <c r="F15" i="5" s="1"/>
  <c r="G15" i="5" s="1"/>
  <c r="H15" i="5" s="1"/>
  <c r="I15" i="5" s="1"/>
  <c r="J15" i="5" s="1"/>
  <c r="K15" i="5" s="1"/>
  <c r="L15" i="5" s="1"/>
  <c r="M15" i="5" s="1"/>
  <c r="N15" i="5" s="1"/>
  <c r="J65" i="7"/>
  <c r="L65" i="7" s="1"/>
  <c r="J55" i="7"/>
  <c r="L55" i="7" s="1"/>
  <c r="C73" i="9"/>
  <c r="C65" i="9" s="1"/>
  <c r="D72" i="9"/>
  <c r="J44" i="7"/>
  <c r="L44" i="7" s="1"/>
  <c r="E8" i="5"/>
  <c r="C68" i="9"/>
  <c r="AD48" i="9"/>
  <c r="AD47" i="9"/>
  <c r="AD46" i="9"/>
  <c r="AD45" i="9"/>
  <c r="AD44" i="9"/>
  <c r="AD43" i="9"/>
  <c r="AD42" i="9"/>
  <c r="AD41" i="9"/>
  <c r="AD40" i="9"/>
  <c r="AD39" i="9"/>
  <c r="AD38" i="9"/>
  <c r="AD37" i="9"/>
  <c r="AD36" i="9"/>
  <c r="AD35" i="9"/>
  <c r="AD34" i="9"/>
  <c r="AD33" i="9"/>
  <c r="AD32" i="9"/>
  <c r="AD31" i="9"/>
  <c r="AD30" i="9"/>
  <c r="AD29" i="9"/>
  <c r="AD28" i="9"/>
  <c r="AD25" i="9"/>
  <c r="AD24" i="9"/>
  <c r="AD27" i="9"/>
  <c r="AD23" i="9"/>
  <c r="AD26" i="9"/>
  <c r="AD22" i="9"/>
  <c r="AD21" i="9"/>
  <c r="AD20" i="9"/>
  <c r="AD19" i="9"/>
  <c r="AD18" i="9"/>
  <c r="AD17" i="9"/>
  <c r="AD16" i="9"/>
  <c r="AD15" i="9"/>
  <c r="AD14" i="9"/>
  <c r="AD13" i="9"/>
  <c r="AD12" i="9"/>
  <c r="AD11" i="9"/>
  <c r="AD10" i="9"/>
  <c r="AD9" i="9"/>
  <c r="AD8" i="9"/>
  <c r="AD7" i="9"/>
  <c r="AD5" i="9"/>
  <c r="AD4" i="9"/>
  <c r="L7" i="7"/>
  <c r="O7" i="7"/>
  <c r="P7" i="7" s="1"/>
  <c r="D73" i="9"/>
  <c r="D74" i="9"/>
  <c r="J2" i="12"/>
  <c r="G23" i="12"/>
  <c r="G17" i="12"/>
  <c r="G18" i="12"/>
  <c r="G19" i="12"/>
  <c r="G20" i="12"/>
  <c r="G21" i="12"/>
  <c r="G22" i="12"/>
  <c r="B23" i="12"/>
  <c r="C21" i="12"/>
  <c r="B18" i="12"/>
  <c r="B17" i="12"/>
  <c r="D19" i="12"/>
  <c r="C17" i="12"/>
  <c r="D17" i="12"/>
  <c r="E17" i="12"/>
  <c r="F17" i="12"/>
  <c r="C18" i="12"/>
  <c r="D18" i="12"/>
  <c r="E18" i="12"/>
  <c r="F18" i="12"/>
  <c r="C19" i="12"/>
  <c r="E19" i="12"/>
  <c r="F19" i="12"/>
  <c r="C20" i="12"/>
  <c r="D20" i="12"/>
  <c r="E20" i="12"/>
  <c r="F20" i="12"/>
  <c r="D21" i="12"/>
  <c r="E21" i="12"/>
  <c r="F21" i="12"/>
  <c r="C22" i="12"/>
  <c r="D22" i="12"/>
  <c r="E22" i="12"/>
  <c r="F22" i="12"/>
  <c r="C23" i="12"/>
  <c r="D23" i="12"/>
  <c r="E23" i="12"/>
  <c r="F23" i="12"/>
  <c r="B19" i="12"/>
  <c r="B20" i="12"/>
  <c r="B21" i="12"/>
  <c r="B22" i="12"/>
  <c r="J20" i="7"/>
  <c r="L20" i="7" s="1"/>
  <c r="G15" i="6"/>
  <c r="I15" i="6" s="1"/>
  <c r="F2" i="6"/>
  <c r="G18" i="8"/>
  <c r="G4" i="8"/>
  <c r="H4" i="8"/>
  <c r="G5" i="8"/>
  <c r="H5" i="8"/>
  <c r="G6" i="8"/>
  <c r="H6" i="8"/>
  <c r="G7" i="8"/>
  <c r="H7" i="8"/>
  <c r="G8" i="8"/>
  <c r="H8" i="8"/>
  <c r="G9" i="8"/>
  <c r="H9" i="8"/>
  <c r="G10" i="8"/>
  <c r="H10" i="8"/>
  <c r="G11" i="8"/>
  <c r="H11" i="8"/>
  <c r="G12" i="8"/>
  <c r="H12" i="8"/>
  <c r="G13" i="8"/>
  <c r="H13" i="8"/>
  <c r="G14" i="8"/>
  <c r="H14" i="8"/>
  <c r="G15" i="8"/>
  <c r="H15" i="8"/>
  <c r="G16" i="8"/>
  <c r="H16" i="8"/>
  <c r="G17" i="8"/>
  <c r="H17" i="8"/>
  <c r="H18" i="8"/>
  <c r="G19" i="8"/>
  <c r="H19" i="8"/>
  <c r="G20" i="8"/>
  <c r="H20" i="8"/>
  <c r="G21" i="8"/>
  <c r="H21" i="8"/>
  <c r="G22" i="8"/>
  <c r="H22" i="8"/>
  <c r="G23" i="8"/>
  <c r="H23" i="8"/>
  <c r="G24" i="8"/>
  <c r="H24" i="8"/>
  <c r="G25" i="8"/>
  <c r="H25" i="8"/>
  <c r="C32" i="8"/>
  <c r="D32" i="8"/>
  <c r="C42" i="8"/>
  <c r="C49" i="8" s="1"/>
  <c r="C52" i="8" s="1"/>
  <c r="D42" i="8"/>
  <c r="D49" i="8" s="1"/>
  <c r="D52" i="8" s="1"/>
  <c r="B11" i="2"/>
  <c r="B5" i="2"/>
  <c r="E27" i="3"/>
  <c r="C14" i="2" s="1"/>
  <c r="C5" i="2"/>
  <c r="C7" i="2" s="1"/>
  <c r="E26" i="3"/>
  <c r="C11" i="2" s="1"/>
  <c r="G11" i="2" s="1"/>
  <c r="G18" i="2" s="1"/>
  <c r="F19" i="2"/>
  <c r="F20" i="2"/>
  <c r="F18" i="2"/>
  <c r="F17" i="2"/>
  <c r="E12" i="2"/>
  <c r="H12" i="2" s="1"/>
  <c r="H19" i="2" s="1"/>
  <c r="G12" i="2"/>
  <c r="G19" i="2" s="1"/>
  <c r="G6" i="2"/>
  <c r="G4" i="2"/>
  <c r="H3" i="2"/>
  <c r="G3" i="2"/>
  <c r="E6" i="2"/>
  <c r="H6" i="2" s="1"/>
  <c r="E4" i="2"/>
  <c r="H4" i="2" s="1"/>
  <c r="J66" i="7"/>
  <c r="L66" i="7" s="1"/>
  <c r="J61" i="7"/>
  <c r="L61" i="7" s="1"/>
  <c r="J71" i="7"/>
  <c r="L71" i="7" s="1"/>
  <c r="V5" i="9" l="1"/>
  <c r="I2" i="9"/>
  <c r="J2" i="9"/>
  <c r="V4" i="9"/>
  <c r="V2" i="9" s="1"/>
  <c r="C79" i="9"/>
  <c r="G9" i="5"/>
  <c r="H8" i="6" s="1"/>
  <c r="I8" i="6" s="1"/>
  <c r="J39" i="7"/>
  <c r="L39" i="7" s="1"/>
  <c r="D26" i="7"/>
  <c r="D32" i="7" s="1"/>
  <c r="J33" i="7"/>
  <c r="L33" i="7" s="1"/>
  <c r="F9" i="5"/>
  <c r="H7" i="6" s="1"/>
  <c r="I7" i="6" s="1"/>
  <c r="E9" i="5"/>
  <c r="D9" i="5"/>
  <c r="H5" i="6" s="1"/>
  <c r="I5" i="6" s="1"/>
  <c r="E34" i="5"/>
  <c r="G20" i="7"/>
  <c r="G26" i="7" s="1"/>
  <c r="G34" i="7" s="1"/>
  <c r="L34" i="5"/>
  <c r="M34" i="5"/>
  <c r="L8" i="7"/>
  <c r="F8" i="7"/>
  <c r="H20" i="12"/>
  <c r="J45" i="7"/>
  <c r="L45" i="7" s="1"/>
  <c r="I10" i="6"/>
  <c r="D69" i="9"/>
  <c r="D68" i="9"/>
  <c r="I34" i="5"/>
  <c r="G19" i="7"/>
  <c r="J19" i="7"/>
  <c r="L19" i="7" s="1"/>
  <c r="D8" i="5"/>
  <c r="J11" i="7"/>
  <c r="J26" i="7"/>
  <c r="L26" i="7" s="1"/>
  <c r="K34" i="5"/>
  <c r="C7" i="5"/>
  <c r="E4" i="6"/>
  <c r="G4" i="6" s="1"/>
  <c r="C9" i="5" s="1"/>
  <c r="B14" i="7"/>
  <c r="B18" i="7" s="1"/>
  <c r="B21" i="7" s="1"/>
  <c r="B24" i="7" s="1"/>
  <c r="B32" i="7" s="1"/>
  <c r="B35" i="7" s="1"/>
  <c r="H17" i="12"/>
  <c r="D11" i="7"/>
  <c r="G11" i="7" s="1"/>
  <c r="G18" i="7" s="1"/>
  <c r="N34" i="5"/>
  <c r="H37" i="8"/>
  <c r="I9" i="11"/>
  <c r="H34" i="5"/>
  <c r="G37" i="8"/>
  <c r="G38" i="8" s="1"/>
  <c r="H38" i="8" s="1"/>
  <c r="D34" i="8" s="1"/>
  <c r="E11" i="2"/>
  <c r="H11" i="2" s="1"/>
  <c r="H18" i="2" s="1"/>
  <c r="H21" i="12"/>
  <c r="D8" i="7"/>
  <c r="G8" i="7" s="1"/>
  <c r="I12" i="2"/>
  <c r="H19" i="12"/>
  <c r="D34" i="5"/>
  <c r="H22" i="12"/>
  <c r="H18" i="12"/>
  <c r="D67" i="9"/>
  <c r="D57" i="9"/>
  <c r="C10" i="2"/>
  <c r="G7" i="2"/>
  <c r="F21" i="7"/>
  <c r="F24" i="7"/>
  <c r="F32" i="7" s="1"/>
  <c r="E5" i="2"/>
  <c r="D33" i="7"/>
  <c r="D35" i="7" s="1"/>
  <c r="F25" i="7"/>
  <c r="F33" i="7" s="1"/>
  <c r="J6" i="11"/>
  <c r="J9" i="11" s="1"/>
  <c r="G5" i="2"/>
  <c r="G34" i="5"/>
  <c r="J34" i="5"/>
  <c r="F34" i="5"/>
  <c r="G11" i="6"/>
  <c r="I11" i="6" s="1"/>
  <c r="J25" i="7"/>
  <c r="L25" i="7" s="1"/>
  <c r="D25" i="7"/>
  <c r="J70" i="7"/>
  <c r="L70" i="7" s="1"/>
  <c r="J60" i="7"/>
  <c r="L60" i="7" s="1"/>
  <c r="J32" i="7"/>
  <c r="L32" i="7" s="1"/>
  <c r="J38" i="7"/>
  <c r="L38" i="7" s="1"/>
  <c r="C8" i="5"/>
  <c r="J50" i="7"/>
  <c r="L50" i="7" s="1"/>
  <c r="J12" i="7"/>
  <c r="C82" i="9" l="1"/>
  <c r="H6" i="6"/>
  <c r="I6" i="6" s="1"/>
  <c r="E39" i="5"/>
  <c r="G14" i="7"/>
  <c r="L11" i="7"/>
  <c r="O11" i="7"/>
  <c r="F14" i="7"/>
  <c r="B27" i="7"/>
  <c r="B29" i="7" s="1"/>
  <c r="G2" i="6"/>
  <c r="B16" i="7"/>
  <c r="E2" i="6"/>
  <c r="E1" i="6" s="1"/>
  <c r="J13" i="7"/>
  <c r="O13" i="7" s="1"/>
  <c r="D14" i="7"/>
  <c r="D18" i="7" s="1"/>
  <c r="D21" i="7" s="1"/>
  <c r="F35" i="7"/>
  <c r="F36" i="7" s="1"/>
  <c r="F27" i="7"/>
  <c r="C34" i="8"/>
  <c r="I17" i="12"/>
  <c r="C17" i="5"/>
  <c r="D17" i="5" s="1"/>
  <c r="E17" i="5" s="1"/>
  <c r="F17" i="5" s="1"/>
  <c r="G17" i="5" s="1"/>
  <c r="H17" i="5" s="1"/>
  <c r="I17" i="5" s="1"/>
  <c r="J17" i="5" s="1"/>
  <c r="K17" i="5" s="1"/>
  <c r="L17" i="5" s="1"/>
  <c r="M17" i="5" s="1"/>
  <c r="N17" i="5" s="1"/>
  <c r="H4" i="6"/>
  <c r="G10" i="2"/>
  <c r="G17" i="2" s="1"/>
  <c r="G20" i="2" s="1"/>
  <c r="C13" i="2"/>
  <c r="E10" i="2"/>
  <c r="G21" i="7"/>
  <c r="G24" i="7"/>
  <c r="G32" i="7" s="1"/>
  <c r="H5" i="2"/>
  <c r="I11" i="2" s="1"/>
  <c r="E7" i="2"/>
  <c r="H7" i="2" s="1"/>
  <c r="D79" i="9"/>
  <c r="D82" i="9" s="1"/>
  <c r="G25" i="7"/>
  <c r="L12" i="7"/>
  <c r="O12" i="7"/>
  <c r="C16" i="5"/>
  <c r="C10" i="5"/>
  <c r="C58" i="9" s="1"/>
  <c r="D58" i="9" s="1"/>
  <c r="J14" i="7" l="1"/>
  <c r="J18" i="7" s="1"/>
  <c r="F28" i="7"/>
  <c r="D24" i="7"/>
  <c r="D27" i="7" s="1"/>
  <c r="L13" i="7"/>
  <c r="L14" i="7" s="1"/>
  <c r="O18" i="7"/>
  <c r="P11" i="7"/>
  <c r="C18" i="5"/>
  <c r="H2" i="6"/>
  <c r="I4" i="6"/>
  <c r="I2" i="6" s="1"/>
  <c r="H10" i="2"/>
  <c r="E13" i="2"/>
  <c r="E17" i="2" s="1"/>
  <c r="E20" i="2" s="1"/>
  <c r="C17" i="2"/>
  <c r="C20" i="2" s="1"/>
  <c r="G13" i="2"/>
  <c r="C15" i="2"/>
  <c r="O20" i="7"/>
  <c r="P13" i="7"/>
  <c r="G33" i="7"/>
  <c r="G35" i="7" s="1"/>
  <c r="G27" i="7"/>
  <c r="C12" i="5"/>
  <c r="D7" i="5"/>
  <c r="D10" i="5" s="1"/>
  <c r="C59" i="9" s="1"/>
  <c r="D59" i="9" s="1"/>
  <c r="D16" i="5"/>
  <c r="O19" i="7"/>
  <c r="P12" i="7"/>
  <c r="C20" i="5" l="1"/>
  <c r="O14" i="7"/>
  <c r="O24" i="7"/>
  <c r="P18" i="7"/>
  <c r="P20" i="7"/>
  <c r="O26" i="7"/>
  <c r="P14" i="7"/>
  <c r="H17" i="2"/>
  <c r="H20" i="2" s="1"/>
  <c r="H13" i="2"/>
  <c r="O25" i="7"/>
  <c r="P19" i="7"/>
  <c r="O21" i="7"/>
  <c r="L18" i="7"/>
  <c r="L21" i="7" s="1"/>
  <c r="J21" i="7"/>
  <c r="J24" i="7" s="1"/>
  <c r="D18" i="5"/>
  <c r="E16" i="5"/>
  <c r="D12" i="5"/>
  <c r="D37" i="5" s="1"/>
  <c r="E7" i="5"/>
  <c r="E10" i="5" l="1"/>
  <c r="C60" i="9" s="1"/>
  <c r="D60" i="9" s="1"/>
  <c r="D20" i="5"/>
  <c r="D39" i="5"/>
  <c r="E38" i="5" s="1"/>
  <c r="E40" i="5" s="1"/>
  <c r="P24" i="7"/>
  <c r="O31" i="7"/>
  <c r="P21" i="7"/>
  <c r="P26" i="7"/>
  <c r="O33" i="7"/>
  <c r="E18" i="5"/>
  <c r="F16" i="5"/>
  <c r="J27" i="7"/>
  <c r="J31" i="7" s="1"/>
  <c r="L24" i="7"/>
  <c r="L27" i="7" s="1"/>
  <c r="O32" i="7"/>
  <c r="P25" i="7"/>
  <c r="O27" i="7"/>
  <c r="F7" i="5" l="1"/>
  <c r="F10" i="5" s="1"/>
  <c r="E12" i="5"/>
  <c r="E20" i="5" s="1"/>
  <c r="P27" i="7"/>
  <c r="O37" i="7"/>
  <c r="P31" i="7"/>
  <c r="P33" i="7"/>
  <c r="O39" i="7"/>
  <c r="O34" i="7"/>
  <c r="O38" i="7"/>
  <c r="P32" i="7"/>
  <c r="J34" i="7"/>
  <c r="J37" i="7" s="1"/>
  <c r="L31" i="7"/>
  <c r="L34" i="7" s="1"/>
  <c r="F18" i="5"/>
  <c r="G16" i="5"/>
  <c r="F12" i="5" l="1"/>
  <c r="F20" i="5" s="1"/>
  <c r="C61" i="9"/>
  <c r="D61" i="9" s="1"/>
  <c r="P34" i="7"/>
  <c r="G7" i="5"/>
  <c r="G10" i="5" s="1"/>
  <c r="G12" i="5" s="1"/>
  <c r="G20" i="5" s="1"/>
  <c r="E41" i="5"/>
  <c r="P37" i="7"/>
  <c r="O43" i="7"/>
  <c r="O45" i="7"/>
  <c r="P39" i="7"/>
  <c r="G18" i="5"/>
  <c r="H16" i="5"/>
  <c r="L37" i="7"/>
  <c r="L40" i="7" s="1"/>
  <c r="J40" i="7"/>
  <c r="J43" i="7" s="1"/>
  <c r="P38" i="7"/>
  <c r="O40" i="7"/>
  <c r="O44" i="7"/>
  <c r="C62" i="9" l="1"/>
  <c r="D62" i="9" s="1"/>
  <c r="H7" i="5"/>
  <c r="H10" i="5" s="1"/>
  <c r="H12" i="5" s="1"/>
  <c r="H20" i="5" s="1"/>
  <c r="P43" i="7"/>
  <c r="O49" i="7"/>
  <c r="P40" i="7"/>
  <c r="P45" i="7"/>
  <c r="O51" i="7"/>
  <c r="P44" i="7"/>
  <c r="O50" i="7"/>
  <c r="O46" i="7"/>
  <c r="J46" i="7"/>
  <c r="J49" i="7" s="1"/>
  <c r="L43" i="7"/>
  <c r="L46" i="7" s="1"/>
  <c r="H18" i="5"/>
  <c r="I16" i="5"/>
  <c r="I7" i="5" l="1"/>
  <c r="I10" i="5" s="1"/>
  <c r="J7" i="5" s="1"/>
  <c r="J10" i="5" s="1"/>
  <c r="O54" i="7"/>
  <c r="P49" i="7"/>
  <c r="P46" i="7"/>
  <c r="I1" i="5"/>
  <c r="O56" i="7"/>
  <c r="P51" i="7"/>
  <c r="L49" i="7"/>
  <c r="L52" i="7" s="1"/>
  <c r="J52" i="7"/>
  <c r="J54" i="7" s="1"/>
  <c r="I2" i="5"/>
  <c r="O52" i="7"/>
  <c r="O55" i="7"/>
  <c r="P50" i="7"/>
  <c r="I18" i="5"/>
  <c r="J16" i="5"/>
  <c r="I12" i="5" l="1"/>
  <c r="I20" i="5" s="1"/>
  <c r="P54" i="7"/>
  <c r="O59" i="7"/>
  <c r="P59" i="7" s="1"/>
  <c r="P52" i="7"/>
  <c r="O61" i="7"/>
  <c r="P61" i="7" s="1"/>
  <c r="P56" i="7"/>
  <c r="K16" i="5"/>
  <c r="J18" i="5"/>
  <c r="O60" i="7"/>
  <c r="O57" i="7"/>
  <c r="J11" i="5" s="1"/>
  <c r="P55" i="7"/>
  <c r="L54" i="7"/>
  <c r="L57" i="7" s="1"/>
  <c r="J57" i="7"/>
  <c r="J59" i="7" s="1"/>
  <c r="K7" i="5"/>
  <c r="K10" i="5" s="1"/>
  <c r="J12" i="5"/>
  <c r="J20" i="5" s="1"/>
  <c r="P57" i="7" l="1"/>
  <c r="L7" i="5"/>
  <c r="L10" i="5" s="1"/>
  <c r="K12" i="5"/>
  <c r="K20" i="5" s="1"/>
  <c r="J62" i="7"/>
  <c r="J64" i="7" s="1"/>
  <c r="L59" i="7"/>
  <c r="L62" i="7" s="1"/>
  <c r="O62" i="7"/>
  <c r="P60" i="7"/>
  <c r="P62" i="7" s="1"/>
  <c r="K18" i="5"/>
  <c r="L16" i="5"/>
  <c r="L18" i="5" l="1"/>
  <c r="M16" i="5"/>
  <c r="L64" i="7"/>
  <c r="L67" i="7" s="1"/>
  <c r="J67" i="7"/>
  <c r="J69" i="7" s="1"/>
  <c r="M7" i="5"/>
  <c r="M10" i="5" s="1"/>
  <c r="L12" i="5"/>
  <c r="L20" i="5" s="1"/>
  <c r="N7" i="5" l="1"/>
  <c r="N10" i="5" s="1"/>
  <c r="M12" i="5"/>
  <c r="M20" i="5" s="1"/>
  <c r="L69" i="7"/>
  <c r="L72" i="7" s="1"/>
  <c r="J72" i="7"/>
  <c r="J74" i="7" s="1"/>
  <c r="M18" i="5"/>
  <c r="N16" i="5"/>
  <c r="N18" i="5" s="1"/>
  <c r="J77" i="7" l="1"/>
  <c r="L74" i="7"/>
  <c r="L77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Vianca Gucon</author>
    <author>Sri Samsiyah</author>
  </authors>
  <commentList>
    <comment ref="E5" authorId="0" shapeId="0" xr:uid="{850E85CB-2C76-4105-BB5C-D203E8F12928}">
      <text>
        <r>
          <rPr>
            <b/>
            <sz val="9"/>
            <color indexed="81"/>
            <rFont val="Tahoma"/>
            <family val="2"/>
          </rPr>
          <t xml:space="preserve">Vianca Gucon: 
PO DATE 30 OCT 2025 (PO TO SPX ON HOLD) TO BE CAPTURED IN NOV 2025 ORDER INTAKE
</t>
        </r>
      </text>
    </comment>
    <comment ref="E12" authorId="0" shapeId="0" xr:uid="{67933099-E537-4F33-B517-5274B3CAB32B}">
      <text>
        <r>
          <rPr>
            <b/>
            <sz val="9"/>
            <color indexed="81"/>
            <rFont val="Tahoma"/>
            <family val="2"/>
          </rPr>
          <t>Vianca Gucon:</t>
        </r>
        <r>
          <rPr>
            <sz val="9"/>
            <color indexed="81"/>
            <rFont val="Tahoma"/>
            <family val="2"/>
          </rPr>
          <t xml:space="preserve">
capture in December 2025</t>
        </r>
      </text>
    </comment>
    <comment ref="E14" authorId="0" shapeId="0" xr:uid="{C2B12369-18F1-456F-ACFB-1FCA57618F6D}">
      <text>
        <r>
          <rPr>
            <b/>
            <sz val="9"/>
            <color indexed="81"/>
            <rFont val="Tahoma"/>
            <family val="2"/>
          </rPr>
          <t>Vianca Gucon:</t>
        </r>
        <r>
          <rPr>
            <sz val="9"/>
            <color indexed="81"/>
            <rFont val="Tahoma"/>
            <family val="2"/>
          </rPr>
          <t xml:space="preserve">
capture in December 2025</t>
        </r>
      </text>
    </comment>
    <comment ref="E19" authorId="0" shapeId="0" xr:uid="{B86EF7ED-2388-45A8-B3F1-5C70589576B0}">
      <text>
        <r>
          <rPr>
            <b/>
            <sz val="9"/>
            <color indexed="81"/>
            <rFont val="Tahoma"/>
            <family val="2"/>
          </rPr>
          <t>Vianca Gucon:</t>
        </r>
        <r>
          <rPr>
            <sz val="9"/>
            <color indexed="81"/>
            <rFont val="Tahoma"/>
            <family val="2"/>
          </rPr>
          <t xml:space="preserve">
to be captured in Jan 2026</t>
        </r>
      </text>
    </comment>
    <comment ref="E36" authorId="0" shapeId="0" xr:uid="{386CDC2B-09D3-4F6B-B0CF-600B97DE3005}">
      <text>
        <r>
          <rPr>
            <b/>
            <sz val="9"/>
            <color indexed="81"/>
            <rFont val="Tahoma"/>
            <family val="2"/>
          </rPr>
          <t>Vianca Gucon:</t>
        </r>
        <r>
          <rPr>
            <sz val="9"/>
            <color indexed="81"/>
            <rFont val="Tahoma"/>
            <family val="2"/>
          </rPr>
          <t xml:space="preserve">
to capture in April booking
</t>
        </r>
      </text>
    </comment>
    <comment ref="E42" authorId="0" shapeId="0" xr:uid="{68459C46-C849-4DD3-9158-686E5DA52B36}">
      <text>
        <r>
          <rPr>
            <b/>
            <sz val="9"/>
            <color indexed="81"/>
            <rFont val="Tahoma"/>
            <family val="2"/>
          </rPr>
          <t>Vianca Gucon:</t>
        </r>
        <r>
          <rPr>
            <sz val="9"/>
            <color indexed="81"/>
            <rFont val="Tahoma"/>
            <family val="2"/>
          </rPr>
          <t xml:space="preserve">
to capture in May booking</t>
        </r>
      </text>
    </comment>
    <comment ref="E43" authorId="0" shapeId="0" xr:uid="{08F4C0EC-9881-4AEA-9768-9D5E236E7D1D}">
      <text>
        <r>
          <rPr>
            <b/>
            <sz val="9"/>
            <color indexed="81"/>
            <rFont val="Tahoma"/>
            <family val="2"/>
          </rPr>
          <t>Vianca Gucon:</t>
        </r>
        <r>
          <rPr>
            <sz val="9"/>
            <color indexed="81"/>
            <rFont val="Tahoma"/>
            <family val="2"/>
          </rPr>
          <t xml:space="preserve">
to capture in May booking
</t>
        </r>
      </text>
    </comment>
    <comment ref="E45" authorId="1" shapeId="0" xr:uid="{AFD77F68-2ED4-41DC-9EB0-0643A95F401A}">
      <text>
        <r>
          <rPr>
            <b/>
            <sz val="9"/>
            <color indexed="81"/>
            <rFont val="Tahoma"/>
            <family val="2"/>
          </rPr>
          <t xml:space="preserve">to capture in May booking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0" authorId="0" shapeId="0" xr:uid="{5A2B3F02-4271-4F42-8631-8FD2C480A8D0}">
      <text>
        <r>
          <rPr>
            <b/>
            <sz val="9"/>
            <color indexed="81"/>
            <rFont val="Tahoma"/>
            <family val="2"/>
          </rPr>
          <t>Vianca Gucon:</t>
        </r>
        <r>
          <rPr>
            <sz val="9"/>
            <color indexed="81"/>
            <rFont val="Tahoma"/>
            <family val="2"/>
          </rPr>
          <t xml:space="preserve">
to capture booking in June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Sri</author>
    <author>HP</author>
  </authors>
  <commentList>
    <comment ref="H6" authorId="0" shapeId="0" xr:uid="{255AC280-10AD-4201-B166-7140103B1860}">
      <text>
        <r>
          <rPr>
            <b/>
            <sz val="9"/>
            <color indexed="81"/>
            <rFont val="Tahoma"/>
            <family val="2"/>
          </rPr>
          <t>BALIK DP</t>
        </r>
      </text>
    </comment>
    <comment ref="D13" authorId="1" shapeId="0" xr:uid="{D0E2DBBB-4CF8-45AC-9014-011E5A70BA78}">
      <text>
        <r>
          <rPr>
            <b/>
            <sz val="9"/>
            <color indexed="81"/>
            <rFont val="Tahoma"/>
            <family val="2"/>
          </rPr>
          <t>07002600093771710 BATAL MINTA GANTI ALAMAT</t>
        </r>
      </text>
    </comment>
    <comment ref="H28" authorId="1" shapeId="0" xr:uid="{6E547AA5-E6A8-4322-AAB0-45E4FDFAE1A1}">
      <text>
        <r>
          <rPr>
            <b/>
            <sz val="9"/>
            <color indexed="81"/>
            <rFont val="Tahoma"/>
            <family val="2"/>
          </rPr>
          <t>balik dp (proforma inv)</t>
        </r>
      </text>
    </comment>
    <comment ref="H38" authorId="1" shapeId="0" xr:uid="{19384965-C58B-4675-964E-2A44C636798D}">
      <text>
        <r>
          <rPr>
            <b/>
            <sz val="9"/>
            <color indexed="81"/>
            <rFont val="Tahoma"/>
            <family val="2"/>
          </rPr>
          <t>balik dp</t>
        </r>
      </text>
    </comment>
  </commentList>
</comments>
</file>

<file path=xl/sharedStrings.xml><?xml version="1.0" encoding="utf-8"?>
<sst xmlns="http://schemas.openxmlformats.org/spreadsheetml/2006/main" count="1551" uniqueCount="578">
  <si>
    <t>PT. EXION SOLUSI REKAYASA INDONESIA</t>
  </si>
  <si>
    <t>YTD Order Booking</t>
  </si>
  <si>
    <t>Customer Name</t>
  </si>
  <si>
    <t xml:space="preserve">Currency </t>
  </si>
  <si>
    <t>Order Intake
(PO Amount 
excluding tax )</t>
  </si>
  <si>
    <t>Order Intake 
(PO Amount including
 11% tax )</t>
  </si>
  <si>
    <t>Order Date</t>
  </si>
  <si>
    <t>CUSTOMER PO</t>
  </si>
  <si>
    <t>Billed Orders
 (amount excluding tax )</t>
  </si>
  <si>
    <t>Billed Orders
 (including  11% tax )</t>
  </si>
  <si>
    <t>Invoice date</t>
  </si>
  <si>
    <t>Invoice Reference</t>
  </si>
  <si>
    <t>Exion Asia 
Job Number</t>
  </si>
  <si>
    <t>External
 Document No.</t>
  </si>
  <si>
    <t>Vendor  Name</t>
  </si>
  <si>
    <t xml:space="preserve">Country </t>
  </si>
  <si>
    <t>Job Status</t>
  </si>
  <si>
    <t>EDD</t>
  </si>
  <si>
    <t xml:space="preserve">PT MULTIMAS NABATI ASAHAN </t>
  </si>
  <si>
    <t>IDR</t>
  </si>
  <si>
    <t>1220279773</t>
  </si>
  <si>
    <t>002.XII.24</t>
  </si>
  <si>
    <t>JN79240211</t>
  </si>
  <si>
    <t xml:space="preserve"> PO-PTEA-1024-0002</t>
  </si>
  <si>
    <t>SPX</t>
  </si>
  <si>
    <t>CHINA</t>
  </si>
  <si>
    <t>Closed (Billed)</t>
  </si>
  <si>
    <t xml:space="preserve">CV MUSIKA SADAWIRA BUANA </t>
  </si>
  <si>
    <t>001/MSB/IX/2024</t>
  </si>
  <si>
    <t>24/10/2024</t>
  </si>
  <si>
    <t>001.X.24</t>
  </si>
  <si>
    <t>JN79240209</t>
  </si>
  <si>
    <t xml:space="preserve"> PO-PTEA-1024-0001</t>
  </si>
  <si>
    <t>WIKA</t>
  </si>
  <si>
    <t>SINGAPORE</t>
  </si>
  <si>
    <t xml:space="preserve">PT BEKASI POWER </t>
  </si>
  <si>
    <t>19716</t>
  </si>
  <si>
    <t>JN79240225</t>
  </si>
  <si>
    <t xml:space="preserve"> PO-PTEA-1024-0003</t>
  </si>
  <si>
    <t>ALPHA POMPE</t>
  </si>
  <si>
    <t>ITALY</t>
  </si>
  <si>
    <t>Open</t>
  </si>
  <si>
    <t>19715</t>
  </si>
  <si>
    <t>JN79240226</t>
  </si>
  <si>
    <t xml:space="preserve"> PO-PTEA-1024-0004</t>
  </si>
  <si>
    <t>19739</t>
  </si>
  <si>
    <t>JN79240238</t>
  </si>
  <si>
    <t xml:space="preserve"> PO-PTEA-1124-0005</t>
  </si>
  <si>
    <t>EMERSON</t>
  </si>
  <si>
    <t>PT SWTS</t>
  </si>
  <si>
    <t>P.GA .05 02</t>
  </si>
  <si>
    <t>25/11/2024</t>
  </si>
  <si>
    <t>001.XI.24</t>
  </si>
  <si>
    <t>NA</t>
  </si>
  <si>
    <t xml:space="preserve"> PO-PTEA-1124-0006</t>
  </si>
  <si>
    <t>PT VISITEK</t>
  </si>
  <si>
    <t>INDONESIA</t>
  </si>
  <si>
    <t>PT. ARTAM BORNEO AUTOMATIKA</t>
  </si>
  <si>
    <t>0302R1C38</t>
  </si>
  <si>
    <t>001.XII.24</t>
  </si>
  <si>
    <t>PO-PTEA-1224-0007</t>
  </si>
  <si>
    <t>A Syifa Firli Aisyah</t>
  </si>
  <si>
    <t>Month
 (2024)</t>
  </si>
  <si>
    <t>Status</t>
  </si>
  <si>
    <t>Sum of Billed Orders
 (amount excluding tax )</t>
  </si>
  <si>
    <t>Sum of Billed Orders
 (including  11% tax )</t>
  </si>
  <si>
    <t>Oct</t>
  </si>
  <si>
    <t>Nov</t>
  </si>
  <si>
    <t>Dec</t>
  </si>
  <si>
    <t>(blank)</t>
  </si>
  <si>
    <t>Grand total (IDR)</t>
  </si>
  <si>
    <t>Grand Total</t>
  </si>
  <si>
    <t>Grand total (SGD)</t>
  </si>
  <si>
    <t>-</t>
  </si>
  <si>
    <t>002.I.25</t>
  </si>
  <si>
    <t>001.I.25</t>
  </si>
  <si>
    <t>003.I.25</t>
  </si>
  <si>
    <t>PLN NUSANTARA POWER</t>
  </si>
  <si>
    <t>001.II.25</t>
  </si>
  <si>
    <t>ID</t>
  </si>
  <si>
    <t>002.II.25</t>
  </si>
  <si>
    <t>003.II.25</t>
  </si>
  <si>
    <t>PT PLN NPS Anggrek</t>
  </si>
  <si>
    <t>001.IV.25</t>
  </si>
  <si>
    <t>001.VI.25</t>
  </si>
  <si>
    <t>JN79250021</t>
  </si>
  <si>
    <t>PO-PTEA-0225-0001</t>
  </si>
  <si>
    <t>SG</t>
  </si>
  <si>
    <t>PT. Pacrim Nusantara Lestari Foods</t>
  </si>
  <si>
    <t>001.III.25</t>
  </si>
  <si>
    <t>JN79250023</t>
  </si>
  <si>
    <t>PO-PTEA-0225-0002</t>
  </si>
  <si>
    <t xml:space="preserve">ENCORD SDN BHD </t>
  </si>
  <si>
    <t>MY</t>
  </si>
  <si>
    <t>PT. PETROKOPINDO CIPTA SELARAS</t>
  </si>
  <si>
    <t>PO-PTEA-0225-0003</t>
  </si>
  <si>
    <t>PT SWTS INDONESIA</t>
  </si>
  <si>
    <t>003.III.25</t>
  </si>
  <si>
    <t>JN79250029</t>
  </si>
  <si>
    <t>PO-PTEA-0325-0004</t>
  </si>
  <si>
    <t>PT PLN Nusantara Power Service</t>
  </si>
  <si>
    <t>PT PLN NPS PLTU Amurang</t>
  </si>
  <si>
    <t>PLN NP UP Tanjung Awar-awar, PT</t>
  </si>
  <si>
    <t>JN79250064</t>
  </si>
  <si>
    <t>PO-PTEA-0525-0006</t>
  </si>
  <si>
    <t>SPX FLOW</t>
  </si>
  <si>
    <t>JN79250063</t>
  </si>
  <si>
    <t>PO-PTEA-0525-0007</t>
  </si>
  <si>
    <t>PT Elmoz Geo Solusi</t>
  </si>
  <si>
    <t>JN79250053</t>
  </si>
  <si>
    <t>PO-PTEA-0425-0005</t>
  </si>
  <si>
    <t>YTD order intake</t>
  </si>
  <si>
    <t>Backlog</t>
  </si>
  <si>
    <t>Month
 (2025)</t>
  </si>
  <si>
    <t>January</t>
  </si>
  <si>
    <t>Feb</t>
  </si>
  <si>
    <t>Mar</t>
  </si>
  <si>
    <t>Apr</t>
  </si>
  <si>
    <t>May</t>
  </si>
  <si>
    <t>Jun</t>
  </si>
  <si>
    <t>Jul</t>
  </si>
  <si>
    <t>Aug</t>
  </si>
  <si>
    <t>Sep</t>
  </si>
  <si>
    <t>PO/EXSRI/1224/0001</t>
  </si>
  <si>
    <t>Indra Kusuma</t>
  </si>
  <si>
    <t>PO/EXSRI/1224/0002</t>
  </si>
  <si>
    <t>PO/EXSRI/1224/0003</t>
  </si>
  <si>
    <t>PO/EXSRI/0225/0001</t>
  </si>
  <si>
    <t>Muhammad Rifai</t>
  </si>
  <si>
    <t>PO-1245</t>
  </si>
  <si>
    <t>002.IV.25</t>
  </si>
  <si>
    <t>PO/EXSRI/0225/0002</t>
  </si>
  <si>
    <t>PO/EXSRI/0325/0003</t>
  </si>
  <si>
    <t>PO/EXSRI/0325/0004</t>
  </si>
  <si>
    <t>POM012</t>
  </si>
  <si>
    <t>002.III.25</t>
  </si>
  <si>
    <t>PO/EXSRI/0325/0005</t>
  </si>
  <si>
    <t>PT Kairos Mulia Abadi</t>
  </si>
  <si>
    <t>PO/EXSRI/0325/0006</t>
  </si>
  <si>
    <t>PO/EXSRI/0425/0007</t>
  </si>
  <si>
    <t>PO/EXSRI/0425/0008</t>
  </si>
  <si>
    <t>PENDING OFFICIAL PO</t>
  </si>
  <si>
    <t>JN79250077</t>
  </si>
  <si>
    <t>PO-PTEA-0625-0010</t>
  </si>
  <si>
    <t xml:space="preserve">Backlog 31 May </t>
  </si>
  <si>
    <t>Backlog 30  Jun</t>
  </si>
  <si>
    <t>PT EXSRI</t>
  </si>
  <si>
    <t>MTD</t>
  </si>
  <si>
    <t>YTD</t>
  </si>
  <si>
    <t>Ex Rate</t>
  </si>
  <si>
    <t>No.</t>
  </si>
  <si>
    <t>SGD</t>
  </si>
  <si>
    <t>Backlog @1 Aug 2024</t>
  </si>
  <si>
    <t>Order intake</t>
  </si>
  <si>
    <t>Sales</t>
  </si>
  <si>
    <t>Backlog @31 Dec 2024</t>
  </si>
  <si>
    <t>Backlog @1 Jan 2025</t>
  </si>
  <si>
    <t>Backlog @31 May 2025</t>
  </si>
  <si>
    <t>Backlog @1 Jun 2025</t>
  </si>
  <si>
    <t>Backlog @30 Jun 2025</t>
  </si>
  <si>
    <t>Sum of Billed Orders</t>
  </si>
  <si>
    <t>Column Labels</t>
  </si>
  <si>
    <t>Vendor Name</t>
  </si>
  <si>
    <t>Margin (YTD JUL2025)</t>
  </si>
  <si>
    <t>FINANCE INDONESIA</t>
  </si>
  <si>
    <t>FINANCE IND</t>
  </si>
  <si>
    <t>EDD (GOODS TO CUSTOMER)</t>
  </si>
  <si>
    <t>QC Reporting Month</t>
  </si>
  <si>
    <t>Revenue
 (Net net amount)</t>
  </si>
  <si>
    <t>Margin 
  (Net net amount)</t>
  </si>
  <si>
    <t xml:space="preserve">Categories </t>
  </si>
  <si>
    <t>Spare Parts / equipment supply for existing plants</t>
  </si>
  <si>
    <t>Checking Sales:</t>
  </si>
  <si>
    <t>Checking backlog:</t>
  </si>
  <si>
    <t>Indonesia -James</t>
  </si>
  <si>
    <t>Jan</t>
  </si>
  <si>
    <t>Opening balance-orderbook/backlog</t>
  </si>
  <si>
    <t>Order intake / received - MTD</t>
  </si>
  <si>
    <t>Sales - MTD</t>
  </si>
  <si>
    <t>Closing balance-orderbook/backlog</t>
  </si>
  <si>
    <t>Checking:_</t>
  </si>
  <si>
    <t>Backlog that will be realized this year</t>
  </si>
  <si>
    <t>Order intake / received - YTD</t>
  </si>
  <si>
    <t>Sales - YTD</t>
  </si>
  <si>
    <t>No. of Orders</t>
  </si>
  <si>
    <t>Value of quotes</t>
  </si>
  <si>
    <t>No. of quotes</t>
  </si>
  <si>
    <t>FTE (Full time Employee) / Headcount</t>
  </si>
  <si>
    <t>Direct (Full time)</t>
  </si>
  <si>
    <t>Indirect</t>
  </si>
  <si>
    <t>Total</t>
  </si>
  <si>
    <t xml:space="preserve">Direct Personal cost :  Salary + Variable bonus + CPF </t>
  </si>
  <si>
    <t xml:space="preserve">*Please put in the correct ORDER INTAKE . </t>
  </si>
  <si>
    <t>REVISED as of Aug 2025</t>
  </si>
  <si>
    <t>QC -YTD</t>
  </si>
  <si>
    <t>Backlog @31 Jan 2025</t>
  </si>
  <si>
    <t>Backlog @1 FEB 2025</t>
  </si>
  <si>
    <t>Backlog @28 FEB 2025</t>
  </si>
  <si>
    <t>Backlog @1 Jul 2025</t>
  </si>
  <si>
    <t>Backlog @1 Mar 2025</t>
  </si>
  <si>
    <t>Backlog @31 Jul 2025</t>
  </si>
  <si>
    <t>Backlog @31 Mar 2025</t>
  </si>
  <si>
    <t>Backlog @1 Apr 2025</t>
  </si>
  <si>
    <t>Backlog @30 Apr 2025</t>
  </si>
  <si>
    <t>Backlog @1 May 2025</t>
  </si>
  <si>
    <t>Backlog @1 Aug 2025</t>
  </si>
  <si>
    <t>Backlog @30 Aug  2025</t>
  </si>
  <si>
    <t>Backlog @30 Nov 2025</t>
  </si>
  <si>
    <t>Backlog @31 Dec 2025</t>
  </si>
  <si>
    <t xml:space="preserve">Status as of 19 Aug 25 ; by Nicole Soong </t>
  </si>
  <si>
    <t>Billed Orders</t>
  </si>
  <si>
    <t xml:space="preserve"> (amount excluding tax )</t>
  </si>
  <si>
    <t>MTH/YEAR</t>
  </si>
  <si>
    <t>INDONOSIA
 (JUL25;COLUMN H)</t>
  </si>
  <si>
    <t xml:space="preserve">SINGAPORE </t>
  </si>
  <si>
    <t>TOTAL</t>
  </si>
  <si>
    <t xml:space="preserve">QC Reporting Figure </t>
  </si>
  <si>
    <t>VARINACE</t>
  </si>
  <si>
    <t>PT EXION SOLUSI REKAYASA INDONESIA</t>
  </si>
  <si>
    <t>4-0031</t>
  </si>
  <si>
    <t>INVOICE</t>
  </si>
  <si>
    <t>TGL INVOICE</t>
  </si>
  <si>
    <t>FAKTUR</t>
  </si>
  <si>
    <t>JOB NO</t>
  </si>
  <si>
    <t>PO NO</t>
  </si>
  <si>
    <t>CUSTOMER</t>
  </si>
  <si>
    <t>GROSS AMT</t>
  </si>
  <si>
    <t>VAT 11%</t>
  </si>
  <si>
    <t>NET TOTAL</t>
  </si>
  <si>
    <t>PACRIM NUSANTARA LESTARI FOODS,PT</t>
  </si>
  <si>
    <t>GRAND TOTAL</t>
  </si>
  <si>
    <t>Categories</t>
  </si>
  <si>
    <t>MRO</t>
    <phoneticPr fontId="4"/>
  </si>
  <si>
    <t>Workshop MRO</t>
  </si>
  <si>
    <t>Equipment Supply for New Project</t>
  </si>
  <si>
    <t>2794/11/2025/MEI66 REVISI-1</t>
  </si>
  <si>
    <t>EXSRI JOB NUMBER</t>
  </si>
  <si>
    <t xml:space="preserve">Backlog 31 Dec </t>
  </si>
  <si>
    <t>Month
 (2026)</t>
  </si>
  <si>
    <t>SALES 2026</t>
  </si>
  <si>
    <t>JN01250002</t>
  </si>
  <si>
    <t>PO-PTEA-1125-0027</t>
  </si>
  <si>
    <t>VALVEWERKZ</t>
  </si>
  <si>
    <t xml:space="preserve">SG </t>
  </si>
  <si>
    <t xml:space="preserve">PLN NUSANTARA POWER </t>
  </si>
  <si>
    <t>TAC715.SPK/612/UPTA/2025</t>
  </si>
  <si>
    <t>JN79250178</t>
  </si>
  <si>
    <t>PO-PTEA-1125-0033</t>
  </si>
  <si>
    <t>9900033981</t>
  </si>
  <si>
    <t>PO-PTEA-1125-0029</t>
  </si>
  <si>
    <t>Apical_PT.Sari Dumai Oleo</t>
  </si>
  <si>
    <t>4500443666</t>
  </si>
  <si>
    <t>PO-PTEA-1225-0035</t>
  </si>
  <si>
    <t>HELS ENDUSTRIYEL</t>
  </si>
  <si>
    <t>TURKEY</t>
  </si>
  <si>
    <t>PT. OSA PUTRA ENGINEERING</t>
  </si>
  <si>
    <t>PO-PTEA-1125-0028</t>
  </si>
  <si>
    <t>INGERSOLL RAND</t>
  </si>
  <si>
    <t>PT ENERGI UNGGUL PERSADA</t>
  </si>
  <si>
    <t xml:space="preserve">IDR </t>
  </si>
  <si>
    <t>1002034500</t>
  </si>
  <si>
    <t>JN02250002</t>
  </si>
  <si>
    <t>PO-PTEA-1125-0031</t>
  </si>
  <si>
    <t>1002034501</t>
  </si>
  <si>
    <t>PT Amman Mineral Industri</t>
  </si>
  <si>
    <t>3600003465</t>
  </si>
  <si>
    <t>JN82250490</t>
  </si>
  <si>
    <t xml:space="preserve"> PO-PTEA-1225-0034</t>
  </si>
  <si>
    <t>INTERVALVE POONAWALLA PVT. LTD.</t>
  </si>
  <si>
    <t xml:space="preserve">INDIA </t>
  </si>
  <si>
    <t xml:space="preserve">PT EVONIK INDONESIA </t>
  </si>
  <si>
    <t>4710193706-ID1/1120</t>
  </si>
  <si>
    <t>PO-PTEA-1125-0032</t>
  </si>
  <si>
    <t>RUEGER</t>
  </si>
  <si>
    <t>Apical_ PT Asianagro Agung Jaya</t>
  </si>
  <si>
    <t>4500446067</t>
  </si>
  <si>
    <t>Apical_ PT Padang Raya Cakrawala</t>
  </si>
  <si>
    <t>4500448557</t>
  </si>
  <si>
    <t>PO-PTEA-1225-0036</t>
  </si>
  <si>
    <t>FIKE</t>
  </si>
  <si>
    <t>EUR</t>
  </si>
  <si>
    <t>PT. Sinarmas Bio Energy</t>
  </si>
  <si>
    <t>9900037356</t>
  </si>
  <si>
    <t>PO-PTEA-1225-0039</t>
  </si>
  <si>
    <t>PT ELANG</t>
  </si>
  <si>
    <t xml:space="preserve">PT WIRASWASTA GEMILANG INDONESIA </t>
  </si>
  <si>
    <t>252177 NO SAP-02</t>
  </si>
  <si>
    <t>JN44250043</t>
  </si>
  <si>
    <t>PO-PTEA-1225-0038</t>
  </si>
  <si>
    <t>ENERGI SEJAHTERA MAS</t>
  </si>
  <si>
    <t>3100018084</t>
  </si>
  <si>
    <t>Backlog @1 Jan 2026</t>
  </si>
  <si>
    <t>Backlog @31 Jan 2026</t>
  </si>
  <si>
    <t>Backlog @1 FEB 2026</t>
  </si>
  <si>
    <t>Backlog @28 FEB 2026</t>
  </si>
  <si>
    <t>Backlog @1 Mar 2026</t>
  </si>
  <si>
    <t>Backlog @31 Mar 2026</t>
  </si>
  <si>
    <t>Backlog @1 Apr 2026</t>
  </si>
  <si>
    <t>Backlog @30 Apr 2026</t>
  </si>
  <si>
    <t>Backlog @1 May 2026</t>
  </si>
  <si>
    <t>Backlog @31 May 2026</t>
  </si>
  <si>
    <t>Backlog @1 Jun 2026</t>
  </si>
  <si>
    <t>Backlog @30 Jun 2026</t>
  </si>
  <si>
    <t>Backlog @1 Jul 2026</t>
  </si>
  <si>
    <t>Backlog @31 Jul 2026</t>
  </si>
  <si>
    <t>Backlog @1 Aug 2026</t>
  </si>
  <si>
    <t>Backlog @31 Aug 2026</t>
  </si>
  <si>
    <t>Backlog @1 Sep 2026</t>
  </si>
  <si>
    <t>Backlog @30 Sep 2026</t>
  </si>
  <si>
    <t>Backlog @1 Oct 2026</t>
  </si>
  <si>
    <t>Backlog @31 Oct  2026</t>
  </si>
  <si>
    <t>Backlog @1 Nov 2026</t>
  </si>
  <si>
    <t>Backlog @30 Nov 2026</t>
  </si>
  <si>
    <t>Backlog @1 Dec 2026</t>
  </si>
  <si>
    <t>Backlog @31 Dec 2026</t>
  </si>
  <si>
    <t>3600003837</t>
  </si>
  <si>
    <t>PLN NUSANTARA POWER SERVICES</t>
  </si>
  <si>
    <t>PT. KAKAS NURAIN FALAH</t>
  </si>
  <si>
    <t>PO-PTEA-0126-0002</t>
  </si>
  <si>
    <t>XI'AN XINBEILANG</t>
  </si>
  <si>
    <t>CN</t>
  </si>
  <si>
    <t xml:space="preserve">JN82260018 </t>
  </si>
  <si>
    <t>PO-PTEA-0126-0001</t>
  </si>
  <si>
    <t>PO-PTEA-0126-0004</t>
  </si>
  <si>
    <t xml:space="preserve">RITAG </t>
  </si>
  <si>
    <t>DE</t>
  </si>
  <si>
    <t>PO-PTEA-0126-0006</t>
  </si>
  <si>
    <t>71004541</t>
  </si>
  <si>
    <t>PT BHUMI JATI POWER_PO</t>
  </si>
  <si>
    <t>PO-BJP-26-1046-MMT</t>
  </si>
  <si>
    <t>PO-PTEA-0126-0007</t>
  </si>
  <si>
    <t>EXION</t>
  </si>
  <si>
    <t>PT WILMAR NABATI INDONESIA</t>
  </si>
  <si>
    <t>8102513584</t>
  </si>
  <si>
    <t>PO-PTEA-0126-0009</t>
  </si>
  <si>
    <t>JN41260008</t>
  </si>
  <si>
    <t>8102513355</t>
  </si>
  <si>
    <t>PO-PTEA-0126-0008</t>
  </si>
  <si>
    <t>VALMET</t>
  </si>
  <si>
    <t>PT Asianagro Agung Jaya</t>
  </si>
  <si>
    <t>4500456381</t>
  </si>
  <si>
    <t>005.SPK/SCM/PLN-NPS/2026</t>
  </si>
  <si>
    <t>71004095</t>
  </si>
  <si>
    <t>PT ELMOZ GEO SOLUSI</t>
  </si>
  <si>
    <t>PO/EGS/2601/00085</t>
  </si>
  <si>
    <t>PO/EGS/2601/00086</t>
  </si>
  <si>
    <t>001.I.26</t>
  </si>
  <si>
    <t>`</t>
  </si>
  <si>
    <t>TOTAL JAN'26</t>
  </si>
  <si>
    <t>002.I.26</t>
  </si>
  <si>
    <t>003.I.26</t>
  </si>
  <si>
    <t>04002600007115437</t>
  </si>
  <si>
    <t>04002600019448891</t>
  </si>
  <si>
    <t>0400460019549402</t>
  </si>
  <si>
    <t>OSA PUTRA ENGINEERING,PT PEL 50%</t>
  </si>
  <si>
    <t>SINAR MAS AGRO RESOURCES AND TECHNOLOGY TBK,PT</t>
  </si>
  <si>
    <t>EVONIK INDONESIA</t>
  </si>
  <si>
    <t>8102515366</t>
  </si>
  <si>
    <t>JN86260037</t>
  </si>
  <si>
    <t>PO-PTEA-0226-0012</t>
  </si>
  <si>
    <t xml:space="preserve">PEKOS </t>
  </si>
  <si>
    <t>SPAIN</t>
  </si>
  <si>
    <t>JN41260012</t>
  </si>
  <si>
    <t>CHINA/KOREA</t>
  </si>
  <si>
    <t>PO-PTEA-0126-0005</t>
  </si>
  <si>
    <t>JN79260010</t>
  </si>
  <si>
    <t>PT. CHANDRA ASRI PACIFIC TBK.</t>
  </si>
  <si>
    <t>PO-PTEA-0226-0013</t>
  </si>
  <si>
    <t xml:space="preserve">JN82260058 </t>
  </si>
  <si>
    <t>PO-PTEA-0326-0014</t>
  </si>
  <si>
    <t>PT MITRA WARA PRATAMA</t>
  </si>
  <si>
    <t>PO/EGS/2602/00295</t>
  </si>
  <si>
    <t>PT. SINAR MAS AGRO RESOURCES AND TECHNOLOGY TBK. (SMART TBK.)</t>
  </si>
  <si>
    <t>PO-PTEA-0326-0016</t>
  </si>
  <si>
    <t>ENCORD</t>
  </si>
  <si>
    <t>9900043735</t>
  </si>
  <si>
    <t>4500114662</t>
  </si>
  <si>
    <t>8600000973</t>
  </si>
  <si>
    <t>001.II.26</t>
  </si>
  <si>
    <t>04002600042799220</t>
  </si>
  <si>
    <t>WIRASWASTA GEMILANG INDONESIA,PT DP 40% dr 3,955M</t>
  </si>
  <si>
    <t>TOTAL FEB'26</t>
  </si>
  <si>
    <t xml:space="preserve">JN01260001 </t>
  </si>
  <si>
    <t>LPOX2603007</t>
  </si>
  <si>
    <t>PT. KALBIO GLOBAL MEDIKA</t>
  </si>
  <si>
    <t xml:space="preserve"> PO-PTEA-0326-0017</t>
  </si>
  <si>
    <t xml:space="preserve">JN86260061 </t>
  </si>
  <si>
    <t>PO-PTEA-0326-0018</t>
  </si>
  <si>
    <t>JN01260006</t>
  </si>
  <si>
    <t>PROFIT SHARING</t>
  </si>
  <si>
    <t>CURRENCY</t>
  </si>
  <si>
    <t>EXION ASIA</t>
  </si>
  <si>
    <t>#JOB</t>
  </si>
  <si>
    <t>Sell-to Customer Name</t>
  </si>
  <si>
    <t>Document Date</t>
  </si>
  <si>
    <t>External Document No.</t>
  </si>
  <si>
    <t>Currency Code</t>
  </si>
  <si>
    <t>Amount (LCY)</t>
  </si>
  <si>
    <t>SO2501872</t>
  </si>
  <si>
    <t>PT. EXION SOLUSI REKAYASA INDONESIA</t>
  </si>
  <si>
    <t>PO-PTEA-1225-0034</t>
  </si>
  <si>
    <t>USD</t>
  </si>
  <si>
    <t>SO2501939</t>
  </si>
  <si>
    <t>JN82260018</t>
  </si>
  <si>
    <t>SO2600041</t>
  </si>
  <si>
    <t>SO2600111</t>
  </si>
  <si>
    <t>SO2600121</t>
  </si>
  <si>
    <t>SO2600153</t>
  </si>
  <si>
    <t>SO2600203</t>
  </si>
  <si>
    <t>JN86260061</t>
  </si>
  <si>
    <t>SO2600301</t>
  </si>
  <si>
    <t>PO-PTEA-0326-0017</t>
  </si>
  <si>
    <t>Amount
(FCY)</t>
  </si>
  <si>
    <t>EXION ASIA INVOICE DATE</t>
  </si>
  <si>
    <t xml:space="preserve">PROFIT SHARING </t>
  </si>
  <si>
    <t>Backlog 31 Jan</t>
  </si>
  <si>
    <t>Backlog 28 Feb</t>
  </si>
  <si>
    <t>Backlog 31 Mar</t>
  </si>
  <si>
    <t xml:space="preserve">Expected billing </t>
  </si>
  <si>
    <t>PURCHASE VALUE</t>
  </si>
  <si>
    <t>EXION ASIA PTE LTD</t>
  </si>
  <si>
    <t xml:space="preserve">JN79260012 </t>
  </si>
  <si>
    <t>PT EXSRI STOCK</t>
  </si>
  <si>
    <t>VENDOR NAME</t>
  </si>
  <si>
    <t>PT. SINAR MAS AGRO RESOURCES ANDTECHNOLOGY TBK. (SMART TBK.)</t>
  </si>
  <si>
    <t>001.III.26</t>
  </si>
  <si>
    <t>003.III.26</t>
  </si>
  <si>
    <t>002.III.26</t>
  </si>
  <si>
    <t>004.III.26</t>
  </si>
  <si>
    <t>005.III.26</t>
  </si>
  <si>
    <t>006.III.26</t>
  </si>
  <si>
    <t>4500115032</t>
  </si>
  <si>
    <t>9900046435</t>
  </si>
  <si>
    <t>07022600093361585</t>
  </si>
  <si>
    <t>PADANG RAYA CAKRAWALA,PT</t>
  </si>
  <si>
    <t>07002600109134412</t>
  </si>
  <si>
    <t>ENERGI UNGGUL PERSADA,PT</t>
  </si>
  <si>
    <t>04002600105939279</t>
  </si>
  <si>
    <t>ASIANAGRO AGUNG JAYA,PT</t>
  </si>
  <si>
    <t>04002600105939278</t>
  </si>
  <si>
    <t>04002600105939276</t>
  </si>
  <si>
    <t>04002600105939274</t>
  </si>
  <si>
    <t>TOTAL MAR'26</t>
  </si>
  <si>
    <t>QC</t>
  </si>
  <si>
    <t>PO/EGS/2603/00388</t>
  </si>
  <si>
    <t>stock from PO-PTEA-0226-0013</t>
  </si>
  <si>
    <t xml:space="preserve"> PO-PTEA-0426-0021</t>
  </si>
  <si>
    <t>Exion Asia/ 
Valvewerkz
Job Number</t>
  </si>
  <si>
    <t xml:space="preserve"> PO-PTEA-0426-0022</t>
  </si>
  <si>
    <t>LPOX2604008</t>
  </si>
  <si>
    <t>PO-PTEA-0426-0020</t>
  </si>
  <si>
    <t xml:space="preserve">JN82260099 </t>
  </si>
  <si>
    <t>PO-PTEA-0426-0023</t>
  </si>
  <si>
    <t>JN82260099</t>
  </si>
  <si>
    <t>SO2600443</t>
  </si>
  <si>
    <t>JN82260101</t>
  </si>
  <si>
    <t>SO2600456</t>
  </si>
  <si>
    <t>JN51260057</t>
  </si>
  <si>
    <t>SO2600484</t>
  </si>
  <si>
    <t>PO-PTEA-0426-0024</t>
  </si>
  <si>
    <t>CV DUA DIGITS</t>
  </si>
  <si>
    <t>001/PO/DD/IV/2026</t>
  </si>
  <si>
    <t>9900047435</t>
  </si>
  <si>
    <t xml:space="preserve">JN82260107 </t>
  </si>
  <si>
    <t>PO-PTEA-0426-0026</t>
  </si>
  <si>
    <t xml:space="preserve">JN82260101 </t>
  </si>
  <si>
    <t>JN41260038</t>
  </si>
  <si>
    <t>PO-PTEA-0426-0027</t>
  </si>
  <si>
    <t xml:space="preserve">JN01260008 </t>
  </si>
  <si>
    <t>001.IV.26</t>
  </si>
  <si>
    <t>04012600113820532</t>
  </si>
  <si>
    <t>CHANDRA ASRI PACIFIC TBK,PT</t>
  </si>
  <si>
    <t>002.IV.26</t>
  </si>
  <si>
    <t>04002600113820533</t>
  </si>
  <si>
    <t>003.IV.26</t>
  </si>
  <si>
    <t>04002600138641023</t>
  </si>
  <si>
    <t>SINARMAS BIO ENERGY,PT</t>
  </si>
  <si>
    <t>004.IV.26</t>
  </si>
  <si>
    <t>04002600143317607</t>
  </si>
  <si>
    <t>KALBIO GLOBAL MEDIKA,PT</t>
  </si>
  <si>
    <t xml:space="preserve">LPOX2603007 </t>
  </si>
  <si>
    <t>005.IV.26</t>
  </si>
  <si>
    <t>04002600146792682</t>
  </si>
  <si>
    <t>SINAR MAS AGRO RESOURCE AND TECHNOLOGY TBK,PT</t>
  </si>
  <si>
    <t>006.IV.26</t>
  </si>
  <si>
    <t>04002600152861318</t>
  </si>
  <si>
    <t>TOTAL APR'26</t>
  </si>
  <si>
    <t>8600001026</t>
  </si>
  <si>
    <t>8102519410</t>
  </si>
  <si>
    <t>MRO</t>
  </si>
  <si>
    <t>8102521249</t>
  </si>
  <si>
    <t xml:space="preserve">JN82260126 </t>
  </si>
  <si>
    <t>PO-PTEA-0526-0028</t>
  </si>
  <si>
    <t>PT. LINDE INDONESIA</t>
  </si>
  <si>
    <t>9300781425</t>
  </si>
  <si>
    <t xml:space="preserve">JN82260147 </t>
  </si>
  <si>
    <t>PO-PTEA-0526-0032</t>
  </si>
  <si>
    <t>REXARC</t>
  </si>
  <si>
    <t>PT. INTI ENERGI LINE</t>
  </si>
  <si>
    <t>SF0226006901</t>
  </si>
  <si>
    <t xml:space="preserve">JN43260035 </t>
  </si>
  <si>
    <t>PO-PTEA-0526-0030</t>
  </si>
  <si>
    <t>DANIEL</t>
  </si>
  <si>
    <t>PO/EGS/2604/00548-Rev1</t>
  </si>
  <si>
    <t>PO-PTEA-0526-0031</t>
  </si>
  <si>
    <t xml:space="preserve">JN01260012 </t>
  </si>
  <si>
    <t>HIWA</t>
  </si>
  <si>
    <t>001.V.26</t>
  </si>
  <si>
    <t>07002600158271040</t>
  </si>
  <si>
    <t>ENERGI SEJAHTERA MAS,PT</t>
  </si>
  <si>
    <t>002.V.26</t>
  </si>
  <si>
    <t>04002600180454477</t>
  </si>
  <si>
    <t>INTI ENERGI LINE,PT DP 50% dr 124,116JT</t>
  </si>
  <si>
    <t>003.V.26</t>
  </si>
  <si>
    <t>04002600192775314</t>
  </si>
  <si>
    <t xml:space="preserve">DUA DIGITS,CV </t>
  </si>
  <si>
    <t>004.V.26</t>
  </si>
  <si>
    <t>04002600194375551</t>
  </si>
  <si>
    <t>005.V.26</t>
  </si>
  <si>
    <t>04012600199519551</t>
  </si>
  <si>
    <t>AMMAN MINERAL INDUSTRI,PT</t>
  </si>
  <si>
    <t>006.V.26</t>
  </si>
  <si>
    <t>04002600199671059</t>
  </si>
  <si>
    <t>TOTAL MAY'26</t>
  </si>
  <si>
    <t>APEXINDO PRATAMA DUTA,PT</t>
  </si>
  <si>
    <t>4500115656</t>
  </si>
  <si>
    <t>4500115845</t>
  </si>
  <si>
    <t>4500115701</t>
  </si>
  <si>
    <t>TAS-100073890</t>
  </si>
  <si>
    <t>Backlog 30 Apr</t>
  </si>
  <si>
    <t>Backlog 31 May</t>
  </si>
  <si>
    <t>S</t>
  </si>
  <si>
    <t xml:space="preserve">Actual billing </t>
  </si>
  <si>
    <t>JN79260084</t>
  </si>
  <si>
    <t xml:space="preserve"> PO-PTEA-0626-0035</t>
  </si>
  <si>
    <t>SG
ID</t>
  </si>
  <si>
    <t xml:space="preserve">JN82260138 </t>
  </si>
  <si>
    <t>PO-PTEA-0526-0033</t>
  </si>
  <si>
    <t>MGA CONTROLS</t>
  </si>
  <si>
    <t>PO-PTEA-0626-0036</t>
  </si>
  <si>
    <t>EXION CHINA</t>
  </si>
  <si>
    <t xml:space="preserve">JN82260144 </t>
  </si>
  <si>
    <t xml:space="preserve">PO-PTEA-0526-0034 </t>
  </si>
  <si>
    <t>PO-PTEA-0126-0003
PO-PTEA-0626-0039
PO-PTEA-0626-0040
PO-PTEA-0626-0041
PO-PTEA-0626-0042</t>
  </si>
  <si>
    <t>24,240.00
32,931,000.00
5,200,000.00
3,781,000.00
20,250,000.00</t>
  </si>
  <si>
    <t>USD
IDR
IDR
IDR
IDR</t>
  </si>
  <si>
    <r>
      <t xml:space="preserve">VALVEWERKZ
</t>
    </r>
    <r>
      <rPr>
        <sz val="10"/>
        <rFont val="Aptos Narrow"/>
        <family val="2"/>
        <scheme val="minor"/>
      </rPr>
      <t>PT BUDIJAYA MAKMURSENTOSA</t>
    </r>
    <r>
      <rPr>
        <sz val="10"/>
        <color theme="4"/>
        <rFont val="Aptos Narrow"/>
        <family val="2"/>
        <scheme val="minor"/>
      </rPr>
      <t xml:space="preserve">
</t>
    </r>
    <r>
      <rPr>
        <sz val="10"/>
        <rFont val="Aptos Narrow"/>
        <family val="2"/>
        <scheme val="minor"/>
      </rPr>
      <t>PT VALMATIC
PT BUDIJAYA MAKMURSENTOSA
PT RENOYAFA</t>
    </r>
  </si>
  <si>
    <t>TAS-100073934</t>
  </si>
  <si>
    <t xml:space="preserve">JN79260085 </t>
  </si>
  <si>
    <t xml:space="preserve"> PO-PTEA-0626-0037</t>
  </si>
  <si>
    <t>PO35-VI-26-EXSRI</t>
  </si>
  <si>
    <t>PT VALVE ENGINEER INDONESIA</t>
  </si>
  <si>
    <t>JN84260001</t>
  </si>
  <si>
    <t xml:space="preserve"> PO-PTEA-0626-0038</t>
  </si>
  <si>
    <t>QVI</t>
  </si>
  <si>
    <t>4500116305</t>
  </si>
  <si>
    <t>4500116463</t>
  </si>
  <si>
    <t>001.VI.26</t>
  </si>
  <si>
    <t>002.VI.26</t>
  </si>
  <si>
    <t>003.VI.26</t>
  </si>
  <si>
    <t>004.VI.26</t>
  </si>
  <si>
    <t>005.VI.26</t>
  </si>
  <si>
    <t>006.VI.26</t>
  </si>
  <si>
    <t>007.VI.26</t>
  </si>
  <si>
    <t>04012600203225062</t>
  </si>
  <si>
    <t>07012600206320165</t>
  </si>
  <si>
    <t>SARI DUMAI OLEO,PT</t>
  </si>
  <si>
    <t>03002600212559634</t>
  </si>
  <si>
    <t>PLN NUSANTARA POWER UP TANJUNG AWAR-AWAR</t>
  </si>
  <si>
    <t>07002600221812319</t>
  </si>
  <si>
    <t>WILMAR NABATI INDONESIA,PT</t>
  </si>
  <si>
    <t>04002600222505376</t>
  </si>
  <si>
    <t>BHUMI JATI POWER,PT</t>
  </si>
  <si>
    <t>04002600230083735</t>
  </si>
  <si>
    <t>SF0226006901 - PEL 50%</t>
  </si>
  <si>
    <t>INTI ENERGI LINE,PT</t>
  </si>
  <si>
    <t>04002600248290167</t>
  </si>
  <si>
    <t>TOTAL JUN'26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</si>
</sst>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[$-409]d\-mmm\-yy;@"/>
    <numFmt numFmtId="166" formatCode="_-* #,##0_-;\-* #,##0_-;_-* &quot;-&quot;??_-;_-@_-"/>
    <numFmt numFmtId="167" formatCode="[$-14809]d\ mmm\ yyyy;@"/>
    <numFmt numFmtId="168" formatCode="_(* #,##0_);_(* \(#,##0\);_(* &quot;-&quot;??_);_(@_)"/>
    <numFmt numFmtId="169" formatCode="0.0"/>
    <numFmt numFmtId="170" formatCode="_-* #,##0.00000_-;\-* #,##0.00000_-;_-* &quot;-&quot;??_-;_-@_-"/>
    <numFmt numFmtId="171" formatCode="[$-409]dd\-mmm\-yy;@"/>
    <numFmt numFmtId="172" formatCode="[$-409]mmm\-yy;@"/>
    <numFmt numFmtId="173" formatCode="dd/mm/yy;@"/>
  </numFmts>
  <fonts count="5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color theme="9"/>
      <name val="Aptos Narrow"/>
      <family val="2"/>
      <scheme val="minor"/>
    </font>
    <font>
      <sz val="10"/>
      <color rgb="FFC000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b/>
      <sz val="10"/>
      <color theme="4"/>
      <name val="Aptos Narrow"/>
      <family val="2"/>
      <scheme val="minor"/>
    </font>
    <font>
      <sz val="9"/>
      <name val="Courier New"/>
      <family val="3"/>
    </font>
    <font>
      <i/>
      <sz val="11"/>
      <color theme="1"/>
      <name val="Aptos Narrow"/>
      <family val="2"/>
      <scheme val="minor"/>
    </font>
    <font>
      <b/>
      <sz val="9"/>
      <color theme="1"/>
      <name val="Courier New"/>
      <family val="3"/>
    </font>
    <font>
      <sz val="9"/>
      <color theme="1"/>
      <name val="Courier New"/>
      <family val="3"/>
    </font>
    <font>
      <b/>
      <sz val="9"/>
      <name val="Courier New"/>
      <family val="3"/>
    </font>
    <font>
      <sz val="10"/>
      <color rgb="FFFF0000"/>
      <name val="Calibri"/>
      <family val="2"/>
    </font>
    <font>
      <b/>
      <i/>
      <sz val="11"/>
      <color theme="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4"/>
      <name val="Aptos Narrow"/>
      <family val="2"/>
      <scheme val="minor"/>
    </font>
    <font>
      <b/>
      <sz val="10"/>
      <color theme="9"/>
      <name val="Aptos Narrow"/>
      <family val="2"/>
      <scheme val="minor"/>
    </font>
    <font>
      <i/>
      <sz val="10"/>
      <name val="Calibri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sz val="10"/>
      <name val="Aptos Narrow"/>
      <family val="2"/>
    </font>
    <font>
      <i/>
      <sz val="10"/>
      <color theme="8" tint="-0.249977111117893"/>
      <name val="Calibri"/>
      <family val="2"/>
    </font>
    <font>
      <sz val="12"/>
      <color theme="1"/>
      <name val="Arial"/>
      <family val="2"/>
    </font>
    <font>
      <sz val="10"/>
      <color rgb="FFFF0000"/>
      <name val="Aptos Narrow"/>
      <family val="2"/>
      <scheme val="minor"/>
    </font>
    <font>
      <b/>
      <sz val="9"/>
      <color indexed="81"/>
      <name val="Tahoma"/>
      <family val="2"/>
    </font>
    <font>
      <sz val="10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ptos Narrow"/>
      <family val="2"/>
    </font>
    <font>
      <sz val="10"/>
      <color theme="4"/>
      <name val="Aptos Narrow"/>
      <family val="2"/>
    </font>
    <font>
      <sz val="10.5"/>
      <color rgb="FF212121"/>
      <name val="Segoe UI"/>
      <family val="2"/>
    </font>
    <font>
      <b/>
      <sz val="10.5"/>
      <color rgb="FF002060"/>
      <name val="Segoe UI"/>
      <family val="2"/>
    </font>
    <font>
      <sz val="10.5"/>
      <color theme="1"/>
      <name val="Segoe UI"/>
      <family val="2"/>
    </font>
    <font>
      <b/>
      <sz val="10.5"/>
      <color theme="1"/>
      <name val="Segoe UI"/>
      <family val="2"/>
    </font>
    <font>
      <b/>
      <sz val="10.5"/>
      <name val="Segoe UI"/>
      <family val="2"/>
    </font>
    <font>
      <b/>
      <sz val="10.5"/>
      <color rgb="FFED0000"/>
      <name val="Segoe UI"/>
      <family val="2"/>
    </font>
  </fonts>
  <fills count="2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D1E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6EFAF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</fills>
  <borders count="5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hair">
        <color auto="1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8"/>
      </left>
      <right style="thin">
        <color indexed="8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auto="1"/>
      </left>
      <right style="thin">
        <color indexed="8"/>
      </right>
      <top style="hair">
        <color indexed="8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 applyNumberFormat="0" applyProtection="0">
      <alignment horizontal="center"/>
    </xf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19">
    <xf numFmtId="0" fontId="0" fillId="0" borderId="0" xfId="0"/>
    <xf numFmtId="15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6" fontId="0" fillId="0" borderId="0" xfId="1" applyNumberFormat="1" applyFont="1"/>
    <xf numFmtId="166" fontId="0" fillId="0" borderId="0" xfId="0" applyNumberFormat="1"/>
    <xf numFmtId="166" fontId="0" fillId="0" borderId="0" xfId="1" applyNumberFormat="1" applyFont="1" applyBorder="1"/>
    <xf numFmtId="0" fontId="3" fillId="0" borderId="0" xfId="0" applyFont="1"/>
    <xf numFmtId="165" fontId="3" fillId="0" borderId="0" xfId="0" applyNumberFormat="1" applyFont="1"/>
    <xf numFmtId="0" fontId="2" fillId="0" borderId="0" xfId="0" applyFont="1"/>
    <xf numFmtId="0" fontId="7" fillId="0" borderId="1" xfId="0" applyFont="1" applyBorder="1" applyAlignment="1">
      <alignment horizontal="left"/>
    </xf>
    <xf numFmtId="43" fontId="7" fillId="0" borderId="2" xfId="0" applyNumberFormat="1" applyFont="1" applyBorder="1"/>
    <xf numFmtId="43" fontId="7" fillId="0" borderId="1" xfId="0" applyNumberFormat="1" applyFont="1" applyBorder="1"/>
    <xf numFmtId="167" fontId="3" fillId="0" borderId="0" xfId="0" applyNumberFormat="1" applyFont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7" fillId="0" borderId="3" xfId="0" applyFont="1" applyBorder="1" applyAlignment="1">
      <alignment horizontal="left"/>
    </xf>
    <xf numFmtId="0" fontId="0" fillId="0" borderId="3" xfId="0" applyBorder="1"/>
    <xf numFmtId="43" fontId="0" fillId="0" borderId="4" xfId="0" applyNumberFormat="1" applyBorder="1"/>
    <xf numFmtId="166" fontId="3" fillId="0" borderId="0" xfId="0" applyNumberFormat="1" applyFont="1"/>
    <xf numFmtId="166" fontId="0" fillId="0" borderId="0" xfId="1" applyNumberFormat="1" applyFont="1" applyFill="1"/>
    <xf numFmtId="0" fontId="0" fillId="0" borderId="0" xfId="0" applyAlignment="1">
      <alignment horizontal="left"/>
    </xf>
    <xf numFmtId="0" fontId="11" fillId="0" borderId="0" xfId="3">
      <alignment horizontal="center"/>
    </xf>
    <xf numFmtId="0" fontId="11" fillId="0" borderId="0" xfId="3" applyAlignment="1"/>
    <xf numFmtId="0" fontId="11" fillId="0" borderId="5" xfId="3" applyBorder="1" applyAlignment="1"/>
    <xf numFmtId="164" fontId="0" fillId="0" borderId="0" xfId="4" applyFont="1" applyAlignment="1">
      <alignment horizontal="center"/>
    </xf>
    <xf numFmtId="0" fontId="12" fillId="0" borderId="0" xfId="3" applyFont="1" applyAlignment="1"/>
    <xf numFmtId="0" fontId="11" fillId="0" borderId="5" xfId="3" applyBorder="1">
      <alignment horizontal="center"/>
    </xf>
    <xf numFmtId="168" fontId="0" fillId="0" borderId="0" xfId="4" applyNumberFormat="1" applyFont="1" applyAlignment="1">
      <alignment horizontal="center"/>
    </xf>
    <xf numFmtId="168" fontId="0" fillId="0" borderId="0" xfId="4" applyNumberFormat="1" applyFont="1" applyAlignment="1"/>
    <xf numFmtId="168" fontId="11" fillId="0" borderId="0" xfId="3" applyNumberFormat="1">
      <alignment horizontal="center"/>
    </xf>
    <xf numFmtId="168" fontId="0" fillId="6" borderId="0" xfId="4" applyNumberFormat="1" applyFont="1" applyFill="1" applyAlignment="1"/>
    <xf numFmtId="168" fontId="0" fillId="0" borderId="0" xfId="4" applyNumberFormat="1" applyFont="1" applyFill="1" applyAlignment="1"/>
    <xf numFmtId="164" fontId="0" fillId="0" borderId="0" xfId="4" applyFont="1" applyAlignment="1"/>
    <xf numFmtId="0" fontId="12" fillId="0" borderId="0" xfId="3" applyFont="1">
      <alignment horizontal="center"/>
    </xf>
    <xf numFmtId="168" fontId="0" fillId="0" borderId="0" xfId="4" applyNumberFormat="1" applyFont="1" applyFill="1" applyAlignment="1">
      <alignment horizontal="center"/>
    </xf>
    <xf numFmtId="166" fontId="0" fillId="7" borderId="0" xfId="1" applyNumberFormat="1" applyFont="1" applyFill="1"/>
    <xf numFmtId="43" fontId="8" fillId="0" borderId="2" xfId="0" applyNumberFormat="1" applyFont="1" applyBorder="1"/>
    <xf numFmtId="43" fontId="8" fillId="0" borderId="1" xfId="0" applyNumberFormat="1" applyFont="1" applyBorder="1"/>
    <xf numFmtId="0" fontId="8" fillId="0" borderId="1" xfId="0" applyFont="1" applyBorder="1" applyAlignment="1">
      <alignment horizontal="left"/>
    </xf>
    <xf numFmtId="43" fontId="16" fillId="0" borderId="6" xfId="0" applyNumberFormat="1" applyFont="1" applyBorder="1"/>
    <xf numFmtId="170" fontId="0" fillId="0" borderId="0" xfId="1" applyNumberFormat="1" applyFont="1"/>
    <xf numFmtId="14" fontId="17" fillId="0" borderId="7" xfId="0" applyNumberFormat="1" applyFont="1" applyBorder="1" applyAlignment="1">
      <alignment horizontal="left"/>
    </xf>
    <xf numFmtId="0" fontId="17" fillId="0" borderId="8" xfId="0" applyFont="1" applyBorder="1" applyAlignment="1">
      <alignment horizontal="left"/>
    </xf>
    <xf numFmtId="164" fontId="0" fillId="0" borderId="0" xfId="0" applyNumberFormat="1"/>
    <xf numFmtId="0" fontId="0" fillId="0" borderId="9" xfId="0" applyBorder="1"/>
    <xf numFmtId="0" fontId="0" fillId="13" borderId="9" xfId="0" applyFill="1" applyBorder="1"/>
    <xf numFmtId="43" fontId="0" fillId="0" borderId="0" xfId="1" applyFont="1"/>
    <xf numFmtId="0" fontId="0" fillId="0" borderId="9" xfId="0" applyBorder="1" applyAlignment="1">
      <alignment horizontal="center" wrapText="1"/>
    </xf>
    <xf numFmtId="17" fontId="0" fillId="0" borderId="6" xfId="0" applyNumberFormat="1" applyBorder="1"/>
    <xf numFmtId="43" fontId="0" fillId="0" borderId="6" xfId="1" applyFont="1" applyBorder="1"/>
    <xf numFmtId="43" fontId="0" fillId="0" borderId="6" xfId="0" applyNumberFormat="1" applyBorder="1"/>
    <xf numFmtId="0" fontId="0" fillId="7" borderId="10" xfId="0" applyFill="1" applyBorder="1"/>
    <xf numFmtId="0" fontId="18" fillId="0" borderId="0" xfId="0" applyFont="1"/>
    <xf numFmtId="0" fontId="11" fillId="14" borderId="0" xfId="3" applyFill="1" applyAlignment="1"/>
    <xf numFmtId="0" fontId="12" fillId="14" borderId="0" xfId="3" applyFont="1" applyFill="1">
      <alignment horizontal="center"/>
    </xf>
    <xf numFmtId="168" fontId="0" fillId="14" borderId="0" xfId="4" applyNumberFormat="1" applyFont="1" applyFill="1" applyAlignment="1"/>
    <xf numFmtId="168" fontId="11" fillId="14" borderId="0" xfId="3" applyNumberFormat="1" applyFill="1" applyAlignment="1"/>
    <xf numFmtId="0" fontId="11" fillId="14" borderId="5" xfId="3" applyFill="1" applyBorder="1" applyAlignment="1"/>
    <xf numFmtId="0" fontId="20" fillId="0" borderId="0" xfId="0" applyFont="1"/>
    <xf numFmtId="0" fontId="20" fillId="0" borderId="0" xfId="0" applyFont="1" applyAlignment="1">
      <alignment horizontal="left"/>
    </xf>
    <xf numFmtId="4" fontId="17" fillId="0" borderId="11" xfId="0" applyNumberFormat="1" applyFon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3" fillId="10" borderId="0" xfId="0" applyFont="1" applyFill="1"/>
    <xf numFmtId="0" fontId="0" fillId="14" borderId="0" xfId="0" applyFill="1"/>
    <xf numFmtId="166" fontId="0" fillId="16" borderId="0" xfId="1" applyNumberFormat="1" applyFont="1" applyFill="1"/>
    <xf numFmtId="0" fontId="24" fillId="0" borderId="0" xfId="0" applyFont="1" applyAlignment="1">
      <alignment wrapText="1"/>
    </xf>
    <xf numFmtId="166" fontId="0" fillId="17" borderId="0" xfId="0" applyNumberFormat="1" applyFill="1"/>
    <xf numFmtId="0" fontId="0" fillId="18" borderId="0" xfId="0" applyFill="1" applyAlignment="1">
      <alignment horizontal="center"/>
    </xf>
    <xf numFmtId="166" fontId="0" fillId="15" borderId="0" xfId="1" applyNumberFormat="1" applyFont="1" applyFill="1"/>
    <xf numFmtId="0" fontId="29" fillId="19" borderId="0" xfId="3" applyFont="1" applyFill="1">
      <alignment horizontal="center"/>
    </xf>
    <xf numFmtId="168" fontId="29" fillId="19" borderId="0" xfId="3" applyNumberFormat="1" applyFont="1" applyFill="1">
      <alignment horizontal="center"/>
    </xf>
    <xf numFmtId="168" fontId="0" fillId="0" borderId="0" xfId="4" applyNumberFormat="1" applyFont="1"/>
    <xf numFmtId="0" fontId="12" fillId="20" borderId="0" xfId="3" applyFont="1" applyFill="1" applyAlignment="1"/>
    <xf numFmtId="164" fontId="0" fillId="0" borderId="0" xfId="4" applyFont="1"/>
    <xf numFmtId="0" fontId="0" fillId="0" borderId="0" xfId="0" pivotButton="1"/>
    <xf numFmtId="43" fontId="0" fillId="0" borderId="0" xfId="0" applyNumberFormat="1"/>
    <xf numFmtId="14" fontId="0" fillId="0" borderId="0" xfId="0" applyNumberFormat="1"/>
    <xf numFmtId="0" fontId="25" fillId="0" borderId="0" xfId="0" applyFont="1" applyAlignment="1">
      <alignment horizontal="left"/>
    </xf>
    <xf numFmtId="0" fontId="23" fillId="0" borderId="0" xfId="0" applyFont="1"/>
    <xf numFmtId="0" fontId="0" fillId="0" borderId="10" xfId="0" applyBorder="1"/>
    <xf numFmtId="17" fontId="0" fillId="0" borderId="9" xfId="0" applyNumberFormat="1" applyBorder="1"/>
    <xf numFmtId="17" fontId="0" fillId="0" borderId="18" xfId="0" applyNumberFormat="1" applyBorder="1"/>
    <xf numFmtId="0" fontId="0" fillId="0" borderId="20" xfId="0" applyBorder="1"/>
    <xf numFmtId="43" fontId="0" fillId="0" borderId="21" xfId="0" applyNumberFormat="1" applyBorder="1"/>
    <xf numFmtId="43" fontId="0" fillId="0" borderId="22" xfId="0" applyNumberFormat="1" applyBorder="1"/>
    <xf numFmtId="0" fontId="0" fillId="0" borderId="19" xfId="0" applyBorder="1"/>
    <xf numFmtId="43" fontId="0" fillId="0" borderId="19" xfId="0" applyNumberFormat="1" applyBorder="1"/>
    <xf numFmtId="9" fontId="0" fillId="0" borderId="23" xfId="6" applyFont="1" applyFill="1" applyBorder="1"/>
    <xf numFmtId="9" fontId="0" fillId="0" borderId="0" xfId="0" applyNumberFormat="1"/>
    <xf numFmtId="0" fontId="0" fillId="10" borderId="6" xfId="0" applyFill="1" applyBorder="1"/>
    <xf numFmtId="0" fontId="0" fillId="10" borderId="0" xfId="0" applyFill="1" applyAlignment="1">
      <alignment horizontal="left"/>
    </xf>
    <xf numFmtId="0" fontId="25" fillId="10" borderId="0" xfId="0" applyFont="1" applyFill="1" applyAlignment="1">
      <alignment horizontal="left"/>
    </xf>
    <xf numFmtId="0" fontId="26" fillId="10" borderId="0" xfId="0" applyFont="1" applyFill="1" applyAlignment="1">
      <alignment horizontal="left"/>
    </xf>
    <xf numFmtId="0" fontId="31" fillId="0" borderId="0" xfId="0" applyFont="1"/>
    <xf numFmtId="3" fontId="31" fillId="0" borderId="0" xfId="0" applyNumberFormat="1" applyFont="1"/>
    <xf numFmtId="3" fontId="31" fillId="21" borderId="0" xfId="0" applyNumberFormat="1" applyFont="1" applyFill="1"/>
    <xf numFmtId="3" fontId="31" fillId="22" borderId="0" xfId="0" applyNumberFormat="1" applyFont="1" applyFill="1"/>
    <xf numFmtId="164" fontId="31" fillId="21" borderId="0" xfId="0" applyNumberFormat="1" applyFont="1" applyFill="1"/>
    <xf numFmtId="164" fontId="31" fillId="22" borderId="0" xfId="0" applyNumberFormat="1" applyFont="1" applyFill="1"/>
    <xf numFmtId="0" fontId="0" fillId="0" borderId="0" xfId="0" applyAlignment="1">
      <alignment wrapText="1"/>
    </xf>
    <xf numFmtId="4" fontId="32" fillId="0" borderId="24" xfId="0" applyNumberFormat="1" applyFont="1" applyBorder="1"/>
    <xf numFmtId="4" fontId="32" fillId="0" borderId="25" xfId="0" applyNumberFormat="1" applyFont="1" applyBorder="1"/>
    <xf numFmtId="164" fontId="22" fillId="0" borderId="0" xfId="3" applyNumberFormat="1" applyFont="1">
      <alignment horizontal="center"/>
    </xf>
    <xf numFmtId="0" fontId="34" fillId="0" borderId="0" xfId="3" applyFont="1" applyAlignment="1">
      <alignment horizontal="right"/>
    </xf>
    <xf numFmtId="168" fontId="0" fillId="0" borderId="0" xfId="0" applyNumberFormat="1"/>
    <xf numFmtId="0" fontId="0" fillId="0" borderId="15" xfId="0" applyBorder="1" applyAlignment="1">
      <alignment horizontal="center"/>
    </xf>
    <xf numFmtId="0" fontId="2" fillId="0" borderId="26" xfId="0" applyFont="1" applyBorder="1"/>
    <xf numFmtId="0" fontId="2" fillId="2" borderId="27" xfId="0" applyFont="1" applyFill="1" applyBorder="1" applyAlignment="1">
      <alignment horizontal="left"/>
    </xf>
    <xf numFmtId="0" fontId="2" fillId="2" borderId="27" xfId="0" applyFont="1" applyFill="1" applyBorder="1"/>
    <xf numFmtId="0" fontId="2" fillId="2" borderId="27" xfId="0" applyFont="1" applyFill="1" applyBorder="1" applyAlignment="1">
      <alignment horizontal="center" wrapText="1"/>
    </xf>
    <xf numFmtId="167" fontId="2" fillId="2" borderId="27" xfId="0" applyNumberFormat="1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40" fontId="2" fillId="2" borderId="27" xfId="0" applyNumberFormat="1" applyFont="1" applyFill="1" applyBorder="1" applyAlignment="1">
      <alignment horizontal="center" wrapText="1"/>
    </xf>
    <xf numFmtId="165" fontId="2" fillId="2" borderId="27" xfId="0" applyNumberFormat="1" applyFont="1" applyFill="1" applyBorder="1"/>
    <xf numFmtId="0" fontId="3" fillId="0" borderId="27" xfId="0" applyFont="1" applyBorder="1" applyAlignment="1">
      <alignment horizontal="left"/>
    </xf>
    <xf numFmtId="0" fontId="3" fillId="0" borderId="27" xfId="0" applyFont="1" applyBorder="1" applyAlignment="1">
      <alignment horizontal="center"/>
    </xf>
    <xf numFmtId="43" fontId="3" fillId="5" borderId="27" xfId="2" applyFont="1" applyFill="1" applyBorder="1" applyAlignment="1">
      <alignment horizontal="center"/>
    </xf>
    <xf numFmtId="43" fontId="4" fillId="0" borderId="27" xfId="2" applyFont="1" applyFill="1" applyBorder="1" applyAlignment="1">
      <alignment horizontal="center"/>
    </xf>
    <xf numFmtId="167" fontId="3" fillId="0" borderId="27" xfId="0" applyNumberFormat="1" applyFont="1" applyBorder="1" applyAlignment="1">
      <alignment horizontal="center"/>
    </xf>
    <xf numFmtId="167" fontId="3" fillId="0" borderId="27" xfId="0" quotePrefix="1" applyNumberFormat="1" applyFont="1" applyBorder="1" applyAlignment="1">
      <alignment horizontal="center"/>
    </xf>
    <xf numFmtId="43" fontId="3" fillId="0" borderId="27" xfId="0" applyNumberFormat="1" applyFont="1" applyBorder="1"/>
    <xf numFmtId="14" fontId="4" fillId="0" borderId="27" xfId="0" applyNumberFormat="1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165" fontId="3" fillId="0" borderId="27" xfId="0" applyNumberFormat="1" applyFont="1" applyBorder="1" applyAlignment="1">
      <alignment horizontal="center"/>
    </xf>
    <xf numFmtId="0" fontId="3" fillId="0" borderId="27" xfId="0" applyFont="1" applyBorder="1"/>
    <xf numFmtId="43" fontId="3" fillId="0" borderId="27" xfId="2" applyFont="1" applyFill="1" applyBorder="1" applyAlignment="1">
      <alignment horizontal="center"/>
    </xf>
    <xf numFmtId="43" fontId="4" fillId="0" borderId="27" xfId="0" applyNumberFormat="1" applyFont="1" applyBorder="1"/>
    <xf numFmtId="0" fontId="4" fillId="0" borderId="27" xfId="0" applyFont="1" applyBorder="1" applyAlignment="1">
      <alignment horizontal="center"/>
    </xf>
    <xf numFmtId="0" fontId="4" fillId="0" borderId="27" xfId="0" applyFont="1" applyBorder="1"/>
    <xf numFmtId="43" fontId="4" fillId="5" borderId="27" xfId="2" applyFont="1" applyFill="1" applyBorder="1" applyAlignment="1">
      <alignment horizontal="center"/>
    </xf>
    <xf numFmtId="167" fontId="4" fillId="0" borderId="27" xfId="0" applyNumberFormat="1" applyFont="1" applyBorder="1" applyAlignment="1">
      <alignment horizontal="center"/>
    </xf>
    <xf numFmtId="40" fontId="3" fillId="0" borderId="27" xfId="0" applyNumberFormat="1" applyFont="1" applyBorder="1"/>
    <xf numFmtId="167" fontId="3" fillId="0" borderId="28" xfId="0" applyNumberFormat="1" applyFont="1" applyBorder="1" applyAlignment="1">
      <alignment horizontal="center"/>
    </xf>
    <xf numFmtId="0" fontId="3" fillId="0" borderId="28" xfId="0" applyFont="1" applyBorder="1" applyAlignment="1">
      <alignment horizontal="left"/>
    </xf>
    <xf numFmtId="0" fontId="3" fillId="0" borderId="28" xfId="0" applyFont="1" applyBorder="1" applyAlignment="1">
      <alignment horizontal="center"/>
    </xf>
    <xf numFmtId="43" fontId="3" fillId="0" borderId="28" xfId="2" applyFont="1" applyFill="1" applyBorder="1" applyAlignment="1">
      <alignment horizontal="center"/>
    </xf>
    <xf numFmtId="40" fontId="3" fillId="0" borderId="28" xfId="0" applyNumberFormat="1" applyFont="1" applyBorder="1"/>
    <xf numFmtId="0" fontId="3" fillId="0" borderId="28" xfId="0" applyFont="1" applyBorder="1"/>
    <xf numFmtId="165" fontId="3" fillId="0" borderId="27" xfId="0" applyNumberFormat="1" applyFont="1" applyBorder="1"/>
    <xf numFmtId="0" fontId="3" fillId="0" borderId="29" xfId="0" applyFont="1" applyBorder="1"/>
    <xf numFmtId="0" fontId="2" fillId="4" borderId="27" xfId="0" applyFont="1" applyFill="1" applyBorder="1" applyAlignment="1">
      <alignment horizontal="center" wrapText="1"/>
    </xf>
    <xf numFmtId="0" fontId="6" fillId="3" borderId="27" xfId="0" applyFont="1" applyFill="1" applyBorder="1"/>
    <xf numFmtId="0" fontId="2" fillId="0" borderId="27" xfId="0" applyFont="1" applyBorder="1"/>
    <xf numFmtId="0" fontId="9" fillId="0" borderId="27" xfId="0" applyFont="1" applyBorder="1" applyAlignment="1">
      <alignment horizontal="left"/>
    </xf>
    <xf numFmtId="43" fontId="9" fillId="0" borderId="27" xfId="0" applyNumberFormat="1" applyFont="1" applyBorder="1"/>
    <xf numFmtId="0" fontId="10" fillId="0" borderId="27" xfId="0" applyFont="1" applyBorder="1" applyAlignment="1">
      <alignment horizontal="left"/>
    </xf>
    <xf numFmtId="43" fontId="10" fillId="0" borderId="27" xfId="0" applyNumberFormat="1" applyFont="1" applyBorder="1"/>
    <xf numFmtId="0" fontId="5" fillId="0" borderId="27" xfId="0" applyFont="1" applyBorder="1"/>
    <xf numFmtId="165" fontId="2" fillId="2" borderId="27" xfId="0" applyNumberFormat="1" applyFont="1" applyFill="1" applyBorder="1" applyAlignment="1">
      <alignment horizontal="center"/>
    </xf>
    <xf numFmtId="43" fontId="3" fillId="0" borderId="27" xfId="2" applyFont="1" applyBorder="1" applyAlignment="1">
      <alignment horizontal="center"/>
    </xf>
    <xf numFmtId="43" fontId="4" fillId="0" borderId="27" xfId="2" applyFont="1" applyBorder="1" applyAlignment="1">
      <alignment horizontal="center"/>
    </xf>
    <xf numFmtId="0" fontId="17" fillId="0" borderId="30" xfId="0" applyFont="1" applyBorder="1" applyAlignment="1">
      <alignment horizontal="left"/>
    </xf>
    <xf numFmtId="43" fontId="4" fillId="12" borderId="27" xfId="0" applyNumberFormat="1" applyFont="1" applyFill="1" applyBorder="1"/>
    <xf numFmtId="40" fontId="3" fillId="0" borderId="27" xfId="0" applyNumberFormat="1" applyFont="1" applyBorder="1" applyAlignment="1">
      <alignment horizontal="center"/>
    </xf>
    <xf numFmtId="43" fontId="4" fillId="7" borderId="27" xfId="0" applyNumberFormat="1" applyFont="1" applyFill="1" applyBorder="1"/>
    <xf numFmtId="43" fontId="8" fillId="0" borderId="27" xfId="0" applyNumberFormat="1" applyFont="1" applyBorder="1"/>
    <xf numFmtId="43" fontId="4" fillId="0" borderId="28" xfId="2" applyFont="1" applyFill="1" applyBorder="1" applyAlignment="1">
      <alignment horizontal="center"/>
    </xf>
    <xf numFmtId="43" fontId="3" fillId="9" borderId="27" xfId="2" applyFont="1" applyFill="1" applyBorder="1" applyAlignment="1">
      <alignment horizontal="center"/>
    </xf>
    <xf numFmtId="43" fontId="4" fillId="9" borderId="27" xfId="2" applyFont="1" applyFill="1" applyBorder="1" applyAlignment="1">
      <alignment horizontal="center"/>
    </xf>
    <xf numFmtId="0" fontId="16" fillId="0" borderId="27" xfId="0" applyFont="1" applyBorder="1"/>
    <xf numFmtId="166" fontId="16" fillId="0" borderId="27" xfId="0" applyNumberFormat="1" applyFont="1" applyBorder="1"/>
    <xf numFmtId="0" fontId="15" fillId="0" borderId="27" xfId="0" applyFont="1" applyBorder="1"/>
    <xf numFmtId="166" fontId="15" fillId="0" borderId="27" xfId="0" applyNumberFormat="1" applyFont="1" applyBorder="1"/>
    <xf numFmtId="43" fontId="15" fillId="0" borderId="27" xfId="0" applyNumberFormat="1" applyFont="1" applyBorder="1"/>
    <xf numFmtId="0" fontId="2" fillId="3" borderId="27" xfId="0" applyFont="1" applyFill="1" applyBorder="1"/>
    <xf numFmtId="0" fontId="14" fillId="0" borderId="27" xfId="0" applyFont="1" applyBorder="1" applyAlignment="1">
      <alignment horizontal="left"/>
    </xf>
    <xf numFmtId="43" fontId="14" fillId="0" borderId="27" xfId="0" applyNumberFormat="1" applyFont="1" applyBorder="1"/>
    <xf numFmtId="0" fontId="13" fillId="0" borderId="27" xfId="0" applyFont="1" applyBorder="1" applyAlignment="1">
      <alignment horizontal="left"/>
    </xf>
    <xf numFmtId="43" fontId="13" fillId="0" borderId="27" xfId="0" applyNumberFormat="1" applyFont="1" applyBorder="1"/>
    <xf numFmtId="43" fontId="3" fillId="8" borderId="27" xfId="0" applyNumberFormat="1" applyFont="1" applyFill="1" applyBorder="1"/>
    <xf numFmtId="166" fontId="0" fillId="0" borderId="31" xfId="1" applyNumberFormat="1" applyFont="1" applyBorder="1"/>
    <xf numFmtId="166" fontId="0" fillId="0" borderId="31" xfId="0" applyNumberFormat="1" applyBorder="1"/>
    <xf numFmtId="0" fontId="0" fillId="10" borderId="27" xfId="0" applyFill="1" applyBorder="1"/>
    <xf numFmtId="43" fontId="0" fillId="0" borderId="27" xfId="0" applyNumberFormat="1" applyBorder="1"/>
    <xf numFmtId="0" fontId="0" fillId="0" borderId="27" xfId="0" applyBorder="1"/>
    <xf numFmtId="0" fontId="32" fillId="0" borderId="27" xfId="0" applyFont="1" applyBorder="1"/>
    <xf numFmtId="43" fontId="30" fillId="0" borderId="27" xfId="1" applyFont="1" applyBorder="1"/>
    <xf numFmtId="0" fontId="11" fillId="14" borderId="31" xfId="3" applyFill="1" applyBorder="1" applyAlignment="1"/>
    <xf numFmtId="0" fontId="11" fillId="0" borderId="31" xfId="3" applyBorder="1" applyAlignment="1"/>
    <xf numFmtId="169" fontId="11" fillId="0" borderId="31" xfId="3" applyNumberFormat="1" applyBorder="1" applyAlignment="1"/>
    <xf numFmtId="166" fontId="0" fillId="15" borderId="31" xfId="1" applyNumberFormat="1" applyFont="1" applyFill="1" applyBorder="1"/>
    <xf numFmtId="166" fontId="0" fillId="0" borderId="31" xfId="1" applyNumberFormat="1" applyFont="1" applyFill="1" applyBorder="1"/>
    <xf numFmtId="166" fontId="0" fillId="17" borderId="31" xfId="0" applyNumberFormat="1" applyFill="1" applyBorder="1"/>
    <xf numFmtId="17" fontId="0" fillId="0" borderId="27" xfId="0" applyNumberFormat="1" applyBorder="1"/>
    <xf numFmtId="43" fontId="0" fillId="0" borderId="27" xfId="1" applyFont="1" applyBorder="1"/>
    <xf numFmtId="164" fontId="0" fillId="0" borderId="27" xfId="0" applyNumberFormat="1" applyBorder="1"/>
    <xf numFmtId="4" fontId="17" fillId="0" borderId="32" xfId="0" applyNumberFormat="1" applyFont="1" applyBorder="1" applyAlignment="1">
      <alignment horizontal="right"/>
    </xf>
    <xf numFmtId="4" fontId="19" fillId="0" borderId="27" xfId="0" applyNumberFormat="1" applyFont="1" applyBorder="1"/>
    <xf numFmtId="0" fontId="11" fillId="0" borderId="0" xfId="3" applyAlignment="1">
      <alignment wrapText="1"/>
    </xf>
    <xf numFmtId="0" fontId="35" fillId="10" borderId="27" xfId="0" applyFont="1" applyFill="1" applyBorder="1" applyAlignment="1">
      <alignment horizontal="center" vertical="center" wrapText="1"/>
    </xf>
    <xf numFmtId="0" fontId="35" fillId="10" borderId="6" xfId="0" applyFont="1" applyFill="1" applyBorder="1" applyAlignment="1">
      <alignment horizontal="center" vertical="center" wrapText="1"/>
    </xf>
    <xf numFmtId="14" fontId="17" fillId="0" borderId="33" xfId="0" applyNumberFormat="1" applyFont="1" applyBorder="1" applyAlignment="1">
      <alignment horizontal="left"/>
    </xf>
    <xf numFmtId="0" fontId="17" fillId="0" borderId="34" xfId="0" applyFont="1" applyBorder="1" applyAlignment="1">
      <alignment horizontal="left"/>
    </xf>
    <xf numFmtId="4" fontId="17" fillId="0" borderId="35" xfId="0" applyNumberFormat="1" applyFont="1" applyBorder="1"/>
    <xf numFmtId="4" fontId="17" fillId="0" borderId="36" xfId="0" applyNumberFormat="1" applyFont="1" applyBorder="1"/>
    <xf numFmtId="43" fontId="3" fillId="0" borderId="27" xfId="1" applyFont="1" applyFill="1" applyBorder="1"/>
    <xf numFmtId="164" fontId="4" fillId="0" borderId="27" xfId="2" applyNumberFormat="1" applyFont="1" applyFill="1" applyBorder="1" applyAlignment="1">
      <alignment horizontal="center"/>
    </xf>
    <xf numFmtId="171" fontId="3" fillId="0" borderId="0" xfId="0" applyNumberFormat="1" applyFont="1"/>
    <xf numFmtId="0" fontId="3" fillId="0" borderId="0" xfId="0" applyFont="1" applyAlignment="1">
      <alignment horizontal="center"/>
    </xf>
    <xf numFmtId="0" fontId="17" fillId="0" borderId="37" xfId="0" applyFont="1" applyBorder="1" applyAlignment="1">
      <alignment horizontal="left"/>
    </xf>
    <xf numFmtId="0" fontId="17" fillId="0" borderId="0" xfId="0" applyFont="1"/>
    <xf numFmtId="4" fontId="17" fillId="0" borderId="38" xfId="0" applyNumberFormat="1" applyFont="1" applyBorder="1" applyAlignment="1">
      <alignment horizontal="right"/>
    </xf>
    <xf numFmtId="14" fontId="17" fillId="0" borderId="39" xfId="0" applyNumberFormat="1" applyFont="1" applyBorder="1" applyAlignment="1">
      <alignment horizontal="left"/>
    </xf>
    <xf numFmtId="0" fontId="15" fillId="0" borderId="0" xfId="0" applyFont="1"/>
    <xf numFmtId="166" fontId="15" fillId="0" borderId="0" xfId="0" applyNumberFormat="1" applyFont="1"/>
    <xf numFmtId="43" fontId="15" fillId="0" borderId="0" xfId="0" applyNumberFormat="1" applyFont="1"/>
    <xf numFmtId="43" fontId="38" fillId="0" borderId="0" xfId="1" applyFont="1" applyAlignment="1">
      <alignment horizontal="right" vertical="center"/>
    </xf>
    <xf numFmtId="0" fontId="3" fillId="0" borderId="0" xfId="0" applyFont="1" applyAlignment="1">
      <alignment wrapText="1"/>
    </xf>
    <xf numFmtId="43" fontId="3" fillId="0" borderId="0" xfId="1" applyFont="1" applyAlignment="1">
      <alignment vertical="center"/>
    </xf>
    <xf numFmtId="0" fontId="27" fillId="0" borderId="27" xfId="0" applyFont="1" applyBorder="1" applyAlignment="1">
      <alignment horizontal="center"/>
    </xf>
    <xf numFmtId="164" fontId="3" fillId="0" borderId="27" xfId="2" applyNumberFormat="1" applyFont="1" applyFill="1" applyBorder="1" applyAlignment="1">
      <alignment horizontal="center"/>
    </xf>
    <xf numFmtId="0" fontId="3" fillId="0" borderId="27" xfId="0" applyFont="1" applyBorder="1" applyAlignment="1">
      <alignment wrapText="1"/>
    </xf>
    <xf numFmtId="14" fontId="4" fillId="0" borderId="0" xfId="0" applyNumberFormat="1" applyFont="1"/>
    <xf numFmtId="14" fontId="39" fillId="2" borderId="27" xfId="0" applyNumberFormat="1" applyFont="1" applyFill="1" applyBorder="1"/>
    <xf numFmtId="14" fontId="4" fillId="0" borderId="27" xfId="0" applyNumberFormat="1" applyFont="1" applyBorder="1"/>
    <xf numFmtId="1" fontId="3" fillId="0" borderId="0" xfId="0" applyNumberFormat="1" applyFont="1"/>
    <xf numFmtId="43" fontId="3" fillId="0" borderId="0" xfId="1" applyFont="1"/>
    <xf numFmtId="171" fontId="2" fillId="2" borderId="27" xfId="0" applyNumberFormat="1" applyFont="1" applyFill="1" applyBorder="1" applyAlignment="1">
      <alignment horizontal="center" wrapText="1"/>
    </xf>
    <xf numFmtId="43" fontId="3" fillId="23" borderId="15" xfId="1" applyFont="1" applyFill="1" applyBorder="1" applyAlignment="1">
      <alignment vertical="center" wrapText="1"/>
    </xf>
    <xf numFmtId="0" fontId="3" fillId="23" borderId="15" xfId="0" applyFont="1" applyFill="1" applyBorder="1"/>
    <xf numFmtId="172" fontId="3" fillId="0" borderId="27" xfId="0" quotePrefix="1" applyNumberFormat="1" applyFont="1" applyBorder="1" applyAlignment="1">
      <alignment horizontal="center"/>
    </xf>
    <xf numFmtId="43" fontId="4" fillId="0" borderId="0" xfId="1" applyFont="1" applyFill="1" applyAlignment="1">
      <alignment horizontal="left" vertical="center"/>
    </xf>
    <xf numFmtId="164" fontId="3" fillId="0" borderId="0" xfId="0" applyNumberFormat="1" applyFont="1"/>
    <xf numFmtId="43" fontId="38" fillId="0" borderId="0" xfId="1" applyFont="1" applyFill="1" applyAlignment="1">
      <alignment horizontal="right" vertical="center"/>
    </xf>
    <xf numFmtId="43" fontId="36" fillId="0" borderId="0" xfId="1" applyFont="1" applyAlignment="1">
      <alignment vertical="center"/>
    </xf>
    <xf numFmtId="164" fontId="3" fillId="0" borderId="27" xfId="0" applyNumberFormat="1" applyFont="1" applyBorder="1"/>
    <xf numFmtId="43" fontId="40" fillId="0" borderId="0" xfId="1" applyFont="1" applyFill="1" applyAlignment="1">
      <alignment horizontal="right" vertical="center"/>
    </xf>
    <xf numFmtId="164" fontId="3" fillId="0" borderId="27" xfId="1" applyNumberFormat="1" applyFont="1" applyBorder="1"/>
    <xf numFmtId="0" fontId="3" fillId="0" borderId="27" xfId="0" quotePrefix="1" applyFont="1" applyBorder="1" applyAlignment="1">
      <alignment horizontal="center"/>
    </xf>
    <xf numFmtId="0" fontId="3" fillId="0" borderId="0" xfId="0" applyFont="1" applyAlignment="1">
      <alignment vertical="center"/>
    </xf>
    <xf numFmtId="172" fontId="2" fillId="0" borderId="27" xfId="0" applyNumberFormat="1" applyFont="1" applyBorder="1" applyAlignment="1">
      <alignment horizontal="center"/>
    </xf>
    <xf numFmtId="43" fontId="3" fillId="0" borderId="0" xfId="0" applyNumberFormat="1" applyFont="1"/>
    <xf numFmtId="0" fontId="21" fillId="0" borderId="40" xfId="0" applyFont="1" applyBorder="1" applyAlignment="1">
      <alignment horizontal="center"/>
    </xf>
    <xf numFmtId="0" fontId="21" fillId="0" borderId="40" xfId="0" applyFont="1" applyBorder="1" applyAlignment="1">
      <alignment horizontal="left"/>
    </xf>
    <xf numFmtId="4" fontId="21" fillId="0" borderId="40" xfId="0" applyNumberFormat="1" applyFont="1" applyBorder="1" applyAlignment="1">
      <alignment horizontal="right"/>
    </xf>
    <xf numFmtId="4" fontId="21" fillId="0" borderId="40" xfId="0" applyNumberFormat="1" applyFont="1" applyBorder="1" applyAlignment="1">
      <alignment horizontal="center"/>
    </xf>
    <xf numFmtId="1" fontId="17" fillId="0" borderId="39" xfId="0" quotePrefix="1" applyNumberFormat="1" applyFont="1" applyBorder="1" applyAlignment="1">
      <alignment horizontal="left"/>
    </xf>
    <xf numFmtId="0" fontId="17" fillId="0" borderId="39" xfId="0" applyFont="1" applyBorder="1" applyAlignment="1">
      <alignment horizontal="left"/>
    </xf>
    <xf numFmtId="4" fontId="17" fillId="0" borderId="39" xfId="0" applyNumberFormat="1" applyFont="1" applyBorder="1"/>
    <xf numFmtId="4" fontId="21" fillId="0" borderId="41" xfId="0" applyNumberFormat="1" applyFont="1" applyBorder="1" applyAlignment="1">
      <alignment horizontal="right"/>
    </xf>
    <xf numFmtId="4" fontId="17" fillId="0" borderId="42" xfId="0" applyNumberFormat="1" applyFont="1" applyBorder="1"/>
    <xf numFmtId="14" fontId="17" fillId="0" borderId="42" xfId="0" applyNumberFormat="1" applyFont="1" applyBorder="1" applyAlignment="1">
      <alignment horizontal="left"/>
    </xf>
    <xf numFmtId="1" fontId="17" fillId="0" borderId="42" xfId="0" quotePrefix="1" applyNumberFormat="1" applyFont="1" applyBorder="1" applyAlignment="1">
      <alignment horizontal="left"/>
    </xf>
    <xf numFmtId="0" fontId="17" fillId="0" borderId="42" xfId="0" applyFont="1" applyBorder="1" applyAlignment="1">
      <alignment horizontal="left"/>
    </xf>
    <xf numFmtId="0" fontId="3" fillId="0" borderId="41" xfId="0" applyFont="1" applyBorder="1"/>
    <xf numFmtId="0" fontId="3" fillId="0" borderId="41" xfId="0" applyFont="1" applyBorder="1" applyAlignment="1">
      <alignment horizontal="center"/>
    </xf>
    <xf numFmtId="43" fontId="3" fillId="0" borderId="41" xfId="1" applyFont="1" applyFill="1" applyBorder="1"/>
    <xf numFmtId="164" fontId="4" fillId="0" borderId="41" xfId="2" applyNumberFormat="1" applyFont="1" applyFill="1" applyBorder="1" applyAlignment="1">
      <alignment horizontal="center"/>
    </xf>
    <xf numFmtId="43" fontId="3" fillId="0" borderId="41" xfId="2" applyFont="1" applyFill="1" applyBorder="1" applyAlignment="1">
      <alignment horizontal="center"/>
    </xf>
    <xf numFmtId="14" fontId="4" fillId="0" borderId="41" xfId="0" applyNumberFormat="1" applyFont="1" applyBorder="1"/>
    <xf numFmtId="0" fontId="32" fillId="0" borderId="41" xfId="0" applyFont="1" applyBorder="1"/>
    <xf numFmtId="0" fontId="27" fillId="0" borderId="41" xfId="0" applyFont="1" applyBorder="1" applyAlignment="1">
      <alignment horizontal="center"/>
    </xf>
    <xf numFmtId="0" fontId="3" fillId="0" borderId="41" xfId="0" quotePrefix="1" applyFont="1" applyBorder="1" applyAlignment="1">
      <alignment horizontal="center"/>
    </xf>
    <xf numFmtId="0" fontId="42" fillId="0" borderId="41" xfId="0" applyFont="1" applyBorder="1"/>
    <xf numFmtId="165" fontId="3" fillId="0" borderId="41" xfId="0" applyNumberFormat="1" applyFont="1" applyBorder="1" applyAlignment="1">
      <alignment horizontal="center"/>
    </xf>
    <xf numFmtId="165" fontId="32" fillId="0" borderId="24" xfId="0" applyNumberFormat="1" applyFont="1" applyBorder="1" applyAlignment="1">
      <alignment horizontal="center"/>
    </xf>
    <xf numFmtId="165" fontId="32" fillId="0" borderId="25" xfId="0" applyNumberFormat="1" applyFont="1" applyBorder="1" applyAlignment="1">
      <alignment horizontal="center"/>
    </xf>
    <xf numFmtId="167" fontId="3" fillId="0" borderId="28" xfId="0" quotePrefix="1" applyNumberFormat="1" applyFont="1" applyBorder="1" applyAlignment="1">
      <alignment horizontal="center"/>
    </xf>
    <xf numFmtId="0" fontId="42" fillId="25" borderId="41" xfId="0" applyFont="1" applyFill="1" applyBorder="1"/>
    <xf numFmtId="0" fontId="3" fillId="25" borderId="41" xfId="0" applyFont="1" applyFill="1" applyBorder="1" applyAlignment="1">
      <alignment horizontal="center"/>
    </xf>
    <xf numFmtId="43" fontId="3" fillId="25" borderId="41" xfId="1" applyFont="1" applyFill="1" applyBorder="1"/>
    <xf numFmtId="165" fontId="3" fillId="25" borderId="41" xfId="0" applyNumberFormat="1" applyFont="1" applyFill="1" applyBorder="1" applyAlignment="1">
      <alignment horizontal="center"/>
    </xf>
    <xf numFmtId="14" fontId="4" fillId="25" borderId="41" xfId="0" applyNumberFormat="1" applyFont="1" applyFill="1" applyBorder="1"/>
    <xf numFmtId="0" fontId="3" fillId="25" borderId="0" xfId="0" applyFont="1" applyFill="1" applyAlignment="1">
      <alignment horizontal="center"/>
    </xf>
    <xf numFmtId="0" fontId="3" fillId="25" borderId="27" xfId="0" applyFont="1" applyFill="1" applyBorder="1"/>
    <xf numFmtId="0" fontId="3" fillId="25" borderId="27" xfId="0" applyFont="1" applyFill="1" applyBorder="1" applyAlignment="1">
      <alignment horizontal="center"/>
    </xf>
    <xf numFmtId="164" fontId="3" fillId="25" borderId="27" xfId="2" applyNumberFormat="1" applyFont="1" applyFill="1" applyBorder="1" applyAlignment="1">
      <alignment horizontal="center"/>
    </xf>
    <xf numFmtId="165" fontId="3" fillId="25" borderId="27" xfId="0" applyNumberFormat="1" applyFont="1" applyFill="1" applyBorder="1" applyAlignment="1">
      <alignment horizontal="center"/>
    </xf>
    <xf numFmtId="172" fontId="3" fillId="25" borderId="27" xfId="0" quotePrefix="1" applyNumberFormat="1" applyFont="1" applyFill="1" applyBorder="1" applyAlignment="1">
      <alignment horizontal="center"/>
    </xf>
    <xf numFmtId="14" fontId="4" fillId="25" borderId="27" xfId="0" applyNumberFormat="1" applyFont="1" applyFill="1" applyBorder="1"/>
    <xf numFmtId="0" fontId="4" fillId="25" borderId="27" xfId="0" applyFont="1" applyFill="1" applyBorder="1" applyAlignment="1">
      <alignment horizontal="center"/>
    </xf>
    <xf numFmtId="0" fontId="3" fillId="25" borderId="0" xfId="0" applyFont="1" applyFill="1"/>
    <xf numFmtId="164" fontId="3" fillId="25" borderId="0" xfId="0" applyNumberFormat="1" applyFont="1" applyFill="1"/>
    <xf numFmtId="167" fontId="3" fillId="25" borderId="27" xfId="0" quotePrefix="1" applyNumberFormat="1" applyFont="1" applyFill="1" applyBorder="1" applyAlignment="1">
      <alignment horizontal="center"/>
    </xf>
    <xf numFmtId="0" fontId="3" fillId="0" borderId="41" xfId="0" applyFont="1" applyBorder="1" applyAlignment="1">
      <alignment horizontal="center" vertical="center"/>
    </xf>
    <xf numFmtId="43" fontId="3" fillId="0" borderId="41" xfId="1" applyFont="1" applyFill="1" applyBorder="1" applyAlignment="1">
      <alignment vertical="center"/>
    </xf>
    <xf numFmtId="165" fontId="3" fillId="0" borderId="41" xfId="0" applyNumberFormat="1" applyFont="1" applyBorder="1" applyAlignment="1">
      <alignment horizontal="center" vertical="center"/>
    </xf>
    <xf numFmtId="0" fontId="3" fillId="0" borderId="41" xfId="0" quotePrefix="1" applyFont="1" applyBorder="1" applyAlignment="1">
      <alignment horizontal="center" vertical="center"/>
    </xf>
    <xf numFmtId="172" fontId="3" fillId="0" borderId="0" xfId="0" applyNumberFormat="1" applyFont="1"/>
    <xf numFmtId="172" fontId="2" fillId="11" borderId="27" xfId="0" applyNumberFormat="1" applyFont="1" applyFill="1" applyBorder="1" applyAlignment="1">
      <alignment horizontal="center" vertical="center"/>
    </xf>
    <xf numFmtId="172" fontId="3" fillId="0" borderId="41" xfId="0" applyNumberFormat="1" applyFont="1" applyBorder="1" applyAlignment="1">
      <alignment horizontal="center"/>
    </xf>
    <xf numFmtId="172" fontId="3" fillId="25" borderId="41" xfId="0" applyNumberFormat="1" applyFont="1" applyFill="1" applyBorder="1" applyAlignment="1">
      <alignment horizontal="center"/>
    </xf>
    <xf numFmtId="172" fontId="3" fillId="0" borderId="27" xfId="0" applyNumberFormat="1" applyFont="1" applyBorder="1" applyAlignment="1">
      <alignment horizontal="center"/>
    </xf>
    <xf numFmtId="172" fontId="3" fillId="0" borderId="27" xfId="0" applyNumberFormat="1" applyFont="1" applyBorder="1"/>
    <xf numFmtId="168" fontId="11" fillId="0" borderId="0" xfId="3" applyNumberFormat="1" applyAlignment="1"/>
    <xf numFmtId="168" fontId="0" fillId="0" borderId="0" xfId="4" applyNumberFormat="1" applyFont="1" applyFill="1" applyAlignment="1">
      <alignment wrapText="1"/>
    </xf>
    <xf numFmtId="168" fontId="0" fillId="0" borderId="0" xfId="4" applyNumberFormat="1" applyFont="1" applyFill="1" applyAlignment="1">
      <alignment horizontal="center" wrapText="1"/>
    </xf>
    <xf numFmtId="169" fontId="11" fillId="0" borderId="0" xfId="3" applyNumberFormat="1" applyAlignment="1"/>
    <xf numFmtId="0" fontId="17" fillId="0" borderId="37" xfId="0" quotePrefix="1" applyFont="1" applyBorder="1" applyAlignment="1">
      <alignment horizontal="left"/>
    </xf>
    <xf numFmtId="43" fontId="20" fillId="0" borderId="0" xfId="1" applyFont="1"/>
    <xf numFmtId="4" fontId="17" fillId="24" borderId="38" xfId="0" applyNumberFormat="1" applyFont="1" applyFill="1" applyBorder="1" applyAlignment="1">
      <alignment horizontal="right"/>
    </xf>
    <xf numFmtId="171" fontId="3" fillId="0" borderId="0" xfId="0" applyNumberFormat="1" applyFont="1" applyAlignment="1">
      <alignment horizontal="center"/>
    </xf>
    <xf numFmtId="0" fontId="33" fillId="0" borderId="41" xfId="0" applyFont="1" applyBorder="1" applyAlignment="1">
      <alignment horizontal="center"/>
    </xf>
    <xf numFmtId="0" fontId="30" fillId="0" borderId="0" xfId="0" applyFont="1"/>
    <xf numFmtId="164" fontId="20" fillId="0" borderId="0" xfId="5" applyFont="1"/>
    <xf numFmtId="1" fontId="17" fillId="0" borderId="30" xfId="0" applyNumberFormat="1" applyFont="1" applyBorder="1" applyAlignment="1">
      <alignment horizontal="left"/>
    </xf>
    <xf numFmtId="0" fontId="17" fillId="26" borderId="42" xfId="0" applyFont="1" applyFill="1" applyBorder="1" applyAlignment="1">
      <alignment horizontal="left"/>
    </xf>
    <xf numFmtId="0" fontId="27" fillId="0" borderId="27" xfId="0" applyFont="1" applyBorder="1"/>
    <xf numFmtId="0" fontId="4" fillId="0" borderId="0" xfId="0" applyFont="1" applyAlignment="1">
      <alignment horizontal="center"/>
    </xf>
    <xf numFmtId="0" fontId="39" fillId="2" borderId="27" xfId="0" applyFont="1" applyFill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25" borderId="41" xfId="0" applyFont="1" applyFill="1" applyBorder="1" applyAlignment="1">
      <alignment horizontal="center"/>
    </xf>
    <xf numFmtId="0" fontId="4" fillId="0" borderId="0" xfId="0" applyFont="1"/>
    <xf numFmtId="0" fontId="43" fillId="0" borderId="25" xfId="0" applyFont="1" applyBorder="1" applyAlignment="1">
      <alignment horizontal="center"/>
    </xf>
    <xf numFmtId="0" fontId="2" fillId="11" borderId="41" xfId="0" applyFont="1" applyFill="1" applyBorder="1" applyAlignment="1">
      <alignment horizontal="center" wrapText="1"/>
    </xf>
    <xf numFmtId="0" fontId="3" fillId="0" borderId="12" xfId="0" applyFont="1" applyBorder="1"/>
    <xf numFmtId="0" fontId="6" fillId="0" borderId="0" xfId="0" applyFont="1"/>
    <xf numFmtId="9" fontId="0" fillId="0" borderId="0" xfId="6" applyFont="1"/>
    <xf numFmtId="43" fontId="30" fillId="0" borderId="28" xfId="1" applyFont="1" applyBorder="1"/>
    <xf numFmtId="43" fontId="30" fillId="0" borderId="0" xfId="1" applyFont="1" applyBorder="1"/>
    <xf numFmtId="43" fontId="30" fillId="0" borderId="41" xfId="1" applyFont="1" applyBorder="1"/>
    <xf numFmtId="165" fontId="3" fillId="0" borderId="28" xfId="0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172" fontId="2" fillId="3" borderId="41" xfId="0" applyNumberFormat="1" applyFont="1" applyFill="1" applyBorder="1"/>
    <xf numFmtId="43" fontId="15" fillId="8" borderId="41" xfId="1" applyFont="1" applyFill="1" applyBorder="1"/>
    <xf numFmtId="43" fontId="28" fillId="8" borderId="41" xfId="1" applyFont="1" applyFill="1" applyBorder="1"/>
    <xf numFmtId="1" fontId="17" fillId="0" borderId="46" xfId="0" applyNumberFormat="1" applyFont="1" applyBorder="1" applyAlignment="1">
      <alignment horizontal="left"/>
    </xf>
    <xf numFmtId="0" fontId="17" fillId="0" borderId="47" xfId="0" applyFont="1" applyBorder="1" applyAlignment="1">
      <alignment horizontal="left"/>
    </xf>
    <xf numFmtId="0" fontId="20" fillId="0" borderId="49" xfId="0" applyFont="1" applyBorder="1"/>
    <xf numFmtId="0" fontId="20" fillId="0" borderId="48" xfId="0" quotePrefix="1" applyFont="1" applyBorder="1"/>
    <xf numFmtId="168" fontId="0" fillId="27" borderId="0" xfId="4" applyNumberFormat="1" applyFont="1" applyFill="1" applyAlignment="1"/>
    <xf numFmtId="168" fontId="0" fillId="24" borderId="0" xfId="4" applyNumberFormat="1" applyFont="1" applyFill="1" applyAlignment="1">
      <alignment horizontal="center"/>
    </xf>
    <xf numFmtId="43" fontId="11" fillId="0" borderId="0" xfId="1" applyFont="1" applyAlignment="1"/>
    <xf numFmtId="168" fontId="11" fillId="7" borderId="0" xfId="3" applyNumberFormat="1" applyFill="1" applyAlignment="1"/>
    <xf numFmtId="168" fontId="11" fillId="10" borderId="0" xfId="3" applyNumberFormat="1" applyFill="1" applyAlignment="1"/>
    <xf numFmtId="43" fontId="3" fillId="0" borderId="41" xfId="1" applyFont="1" applyBorder="1" applyAlignment="1">
      <alignment horizontal="right"/>
    </xf>
    <xf numFmtId="43" fontId="3" fillId="0" borderId="41" xfId="1" applyFont="1" applyBorder="1" applyAlignment="1">
      <alignment horizontal="right" vertical="center"/>
    </xf>
    <xf numFmtId="43" fontId="3" fillId="25" borderId="41" xfId="1" applyFont="1" applyFill="1" applyBorder="1" applyAlignment="1">
      <alignment horizontal="right"/>
    </xf>
    <xf numFmtId="43" fontId="2" fillId="11" borderId="41" xfId="1" applyFont="1" applyFill="1" applyBorder="1" applyAlignment="1">
      <alignment horizontal="right" wrapText="1"/>
    </xf>
    <xf numFmtId="43" fontId="3" fillId="0" borderId="0" xfId="1" applyFont="1" applyAlignment="1">
      <alignment horizontal="right"/>
    </xf>
    <xf numFmtId="0" fontId="3" fillId="7" borderId="0" xfId="0" applyFont="1" applyFill="1"/>
    <xf numFmtId="43" fontId="4" fillId="7" borderId="0" xfId="1" applyFont="1" applyFill="1" applyAlignment="1">
      <alignment horizontal="left" vertical="center"/>
    </xf>
    <xf numFmtId="0" fontId="46" fillId="0" borderId="41" xfId="0" applyFont="1" applyBorder="1"/>
    <xf numFmtId="0" fontId="47" fillId="0" borderId="41" xfId="0" applyFont="1" applyBorder="1"/>
    <xf numFmtId="0" fontId="48" fillId="0" borderId="41" xfId="0" applyFont="1" applyBorder="1" applyAlignment="1">
      <alignment horizontal="left" wrapText="1"/>
    </xf>
    <xf numFmtId="0" fontId="48" fillId="0" borderId="41" xfId="0" applyFont="1" applyBorder="1" applyAlignment="1">
      <alignment horizontal="center" wrapText="1"/>
    </xf>
    <xf numFmtId="9" fontId="48" fillId="0" borderId="41" xfId="6" applyFont="1" applyFill="1" applyBorder="1" applyAlignment="1">
      <alignment horizontal="center" wrapText="1"/>
    </xf>
    <xf numFmtId="0" fontId="44" fillId="0" borderId="41" xfId="0" applyFont="1" applyBorder="1" applyAlignment="1">
      <alignment horizontal="left" vertical="center"/>
    </xf>
    <xf numFmtId="14" fontId="44" fillId="0" borderId="41" xfId="0" applyNumberFormat="1" applyFont="1" applyBorder="1" applyAlignment="1">
      <alignment horizontal="left" vertical="center"/>
    </xf>
    <xf numFmtId="14" fontId="45" fillId="0" borderId="41" xfId="0" applyNumberFormat="1" applyFont="1" applyBorder="1" applyAlignment="1">
      <alignment horizontal="center" vertical="center"/>
    </xf>
    <xf numFmtId="0" fontId="44" fillId="0" borderId="41" xfId="0" applyFont="1" applyBorder="1" applyAlignment="1">
      <alignment horizontal="center" vertical="center"/>
    </xf>
    <xf numFmtId="4" fontId="44" fillId="0" borderId="41" xfId="0" applyNumberFormat="1" applyFont="1" applyBorder="1" applyAlignment="1">
      <alignment horizontal="center" vertical="center"/>
    </xf>
    <xf numFmtId="9" fontId="46" fillId="0" borderId="41" xfId="6" applyFont="1" applyFill="1" applyBorder="1" applyAlignment="1">
      <alignment horizontal="center"/>
    </xf>
    <xf numFmtId="14" fontId="46" fillId="0" borderId="41" xfId="0" applyNumberFormat="1" applyFont="1" applyBorder="1"/>
    <xf numFmtId="49" fontId="46" fillId="0" borderId="41" xfId="0" applyNumberFormat="1" applyFont="1" applyBorder="1"/>
    <xf numFmtId="14" fontId="45" fillId="0" borderId="41" xfId="0" applyNumberFormat="1" applyFont="1" applyBorder="1"/>
    <xf numFmtId="4" fontId="46" fillId="0" borderId="41" xfId="0" applyNumberFormat="1" applyFont="1" applyBorder="1" applyAlignment="1">
      <alignment horizontal="center"/>
    </xf>
    <xf numFmtId="0" fontId="49" fillId="0" borderId="41" xfId="0" applyFont="1" applyBorder="1"/>
    <xf numFmtId="15" fontId="49" fillId="0" borderId="41" xfId="0" applyNumberFormat="1" applyFont="1" applyBorder="1"/>
    <xf numFmtId="49" fontId="46" fillId="0" borderId="41" xfId="0" applyNumberFormat="1" applyFont="1" applyBorder="1" applyAlignment="1">
      <alignment horizontal="center"/>
    </xf>
    <xf numFmtId="43" fontId="3" fillId="7" borderId="27" xfId="1" applyFont="1" applyFill="1" applyBorder="1"/>
    <xf numFmtId="16" fontId="3" fillId="0" borderId="41" xfId="0" applyNumberFormat="1" applyFont="1" applyBorder="1" applyAlignment="1">
      <alignment horizontal="center"/>
    </xf>
    <xf numFmtId="43" fontId="4" fillId="0" borderId="0" xfId="1" applyFont="1" applyAlignment="1">
      <alignment horizontal="right" vertical="center"/>
    </xf>
    <xf numFmtId="0" fontId="46" fillId="0" borderId="50" xfId="0" applyFont="1" applyBorder="1"/>
    <xf numFmtId="0" fontId="6" fillId="0" borderId="41" xfId="0" applyFont="1" applyBorder="1"/>
    <xf numFmtId="0" fontId="30" fillId="0" borderId="0" xfId="3" applyFont="1" applyAlignment="1">
      <alignment horizontal="right"/>
    </xf>
    <xf numFmtId="0" fontId="17" fillId="26" borderId="39" xfId="0" applyFont="1" applyFill="1" applyBorder="1" applyAlignment="1">
      <alignment horizontal="left"/>
    </xf>
    <xf numFmtId="16" fontId="4" fillId="0" borderId="27" xfId="0" applyNumberFormat="1" applyFont="1" applyBorder="1" applyAlignment="1">
      <alignment horizontal="center"/>
    </xf>
    <xf numFmtId="16" fontId="3" fillId="0" borderId="27" xfId="0" applyNumberFormat="1" applyFont="1" applyBorder="1" applyAlignment="1">
      <alignment horizontal="center"/>
    </xf>
    <xf numFmtId="16" fontId="3" fillId="25" borderId="41" xfId="0" applyNumberFormat="1" applyFont="1" applyFill="1" applyBorder="1" applyAlignment="1">
      <alignment horizontal="center"/>
    </xf>
    <xf numFmtId="4" fontId="3" fillId="0" borderId="0" xfId="0" applyNumberFormat="1" applyFont="1"/>
    <xf numFmtId="0" fontId="27" fillId="0" borderId="27" xfId="0" applyFont="1" applyBorder="1" applyAlignment="1">
      <alignment horizontal="center" wrapText="1"/>
    </xf>
    <xf numFmtId="43" fontId="3" fillId="25" borderId="41" xfId="1" applyFont="1" applyFill="1" applyBorder="1" applyAlignment="1">
      <alignment horizontal="right" wrapText="1"/>
    </xf>
    <xf numFmtId="0" fontId="3" fillId="25" borderId="41" xfId="0" applyFont="1" applyFill="1" applyBorder="1" applyAlignment="1">
      <alignment horizontal="center" wrapText="1"/>
    </xf>
    <xf numFmtId="14" fontId="17" fillId="0" borderId="0" xfId="0" applyNumberFormat="1" applyFont="1" applyAlignment="1">
      <alignment horizontal="left"/>
    </xf>
    <xf numFmtId="0" fontId="17" fillId="0" borderId="50" xfId="0" applyFont="1" applyBorder="1" applyAlignment="1">
      <alignment horizontal="left"/>
    </xf>
    <xf numFmtId="0" fontId="17" fillId="0" borderId="50" xfId="0" quotePrefix="1" applyFont="1" applyBorder="1" applyAlignment="1">
      <alignment horizontal="left"/>
    </xf>
    <xf numFmtId="4" fontId="17" fillId="0" borderId="0" xfId="0" applyNumberFormat="1" applyFont="1" applyAlignment="1">
      <alignment horizontal="right"/>
    </xf>
    <xf numFmtId="0" fontId="21" fillId="0" borderId="41" xfId="0" applyFont="1" applyBorder="1" applyAlignment="1">
      <alignment horizontal="right"/>
    </xf>
    <xf numFmtId="173" fontId="20" fillId="0" borderId="0" xfId="0" applyNumberFormat="1" applyFont="1"/>
    <xf numFmtId="0" fontId="20" fillId="0" borderId="0" xfId="0" quotePrefix="1" applyFont="1"/>
    <xf numFmtId="164" fontId="20" fillId="0" borderId="0" xfId="5" applyFont="1" applyFill="1"/>
    <xf numFmtId="43" fontId="20" fillId="0" borderId="0" xfId="1" applyFont="1" applyFill="1"/>
    <xf numFmtId="0" fontId="11" fillId="0" borderId="12" xfId="3" applyBorder="1">
      <alignment horizontal="center"/>
    </xf>
    <xf numFmtId="0" fontId="11" fillId="0" borderId="13" xfId="3" applyBorder="1">
      <alignment horizontal="center"/>
    </xf>
    <xf numFmtId="0" fontId="11" fillId="0" borderId="14" xfId="3" applyBorder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42" fillId="0" borderId="28" xfId="0" applyFont="1" applyBorder="1" applyAlignment="1">
      <alignment horizontal="left" vertical="center"/>
    </xf>
    <xf numFmtId="0" fontId="42" fillId="0" borderId="6" xfId="0" applyFont="1" applyBorder="1" applyAlignment="1">
      <alignment horizontal="left" vertical="center"/>
    </xf>
    <xf numFmtId="0" fontId="3" fillId="0" borderId="2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3" fontId="3" fillId="0" borderId="28" xfId="1" applyFont="1" applyFill="1" applyBorder="1" applyAlignment="1">
      <alignment horizontal="left" vertical="center"/>
    </xf>
    <xf numFmtId="43" fontId="3" fillId="0" borderId="6" xfId="1" applyFont="1" applyFill="1" applyBorder="1" applyAlignment="1">
      <alignment horizontal="left" vertical="center"/>
    </xf>
    <xf numFmtId="164" fontId="4" fillId="25" borderId="28" xfId="2" applyNumberFormat="1" applyFont="1" applyFill="1" applyBorder="1" applyAlignment="1">
      <alignment horizontal="center" vertical="center"/>
    </xf>
    <xf numFmtId="164" fontId="4" fillId="25" borderId="6" xfId="2" applyNumberFormat="1" applyFont="1" applyFill="1" applyBorder="1" applyAlignment="1">
      <alignment horizontal="center" vertical="center"/>
    </xf>
    <xf numFmtId="165" fontId="3" fillId="0" borderId="28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72" fontId="3" fillId="0" borderId="28" xfId="0" applyNumberFormat="1" applyFont="1" applyBorder="1" applyAlignment="1">
      <alignment horizontal="center"/>
    </xf>
    <xf numFmtId="172" fontId="3" fillId="0" borderId="6" xfId="0" applyNumberFormat="1" applyFont="1" applyBorder="1" applyAlignment="1">
      <alignment horizontal="center"/>
    </xf>
    <xf numFmtId="43" fontId="3" fillId="0" borderId="28" xfId="2" applyFont="1" applyFill="1" applyBorder="1" applyAlignment="1">
      <alignment horizontal="center"/>
    </xf>
    <xf numFmtId="43" fontId="3" fillId="0" borderId="6" xfId="2" applyFont="1" applyFill="1" applyBorder="1" applyAlignment="1">
      <alignment horizontal="center"/>
    </xf>
    <xf numFmtId="14" fontId="4" fillId="0" borderId="28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43" fontId="3" fillId="0" borderId="28" xfId="1" applyFont="1" applyBorder="1" applyAlignment="1">
      <alignment horizontal="right"/>
    </xf>
    <xf numFmtId="43" fontId="3" fillId="0" borderId="6" xfId="1" applyFont="1" applyBorder="1" applyAlignment="1">
      <alignment horizontal="right"/>
    </xf>
    <xf numFmtId="0" fontId="27" fillId="0" borderId="28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1" fillId="0" borderId="4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1" fillId="0" borderId="29" xfId="0" applyFont="1" applyBorder="1" applyAlignment="1">
      <alignment horizontal="right"/>
    </xf>
    <xf numFmtId="0" fontId="21" fillId="0" borderId="43" xfId="0" applyFont="1" applyBorder="1" applyAlignment="1">
      <alignment horizontal="right"/>
    </xf>
    <xf numFmtId="0" fontId="21" fillId="0" borderId="24" xfId="0" applyFont="1" applyBorder="1" applyAlignment="1">
      <alignment horizontal="right"/>
    </xf>
    <xf numFmtId="0" fontId="19" fillId="0" borderId="44" xfId="0" applyFont="1" applyBorder="1" applyAlignment="1">
      <alignment horizontal="right"/>
    </xf>
    <xf numFmtId="0" fontId="19" fillId="0" borderId="43" xfId="0" applyFont="1" applyBorder="1" applyAlignment="1">
      <alignment horizontal="right"/>
    </xf>
    <xf numFmtId="0" fontId="19" fillId="0" borderId="45" xfId="0" applyFont="1" applyBorder="1" applyAlignment="1">
      <alignment horizontal="right"/>
    </xf>
    <xf numFmtId="0" fontId="21" fillId="0" borderId="28" xfId="0" applyFont="1" applyBorder="1" applyAlignment="1">
      <alignment horizontal="center"/>
    </xf>
    <xf numFmtId="0" fontId="47" fillId="0" borderId="41" xfId="0" applyFont="1" applyBorder="1" applyAlignment="1">
      <alignment horizontal="center"/>
    </xf>
  </cellXfs>
  <cellStyles count="7">
    <cellStyle name="Comma" xfId="1" builtinId="3"/>
    <cellStyle name="Comma 2" xfId="2" xr:uid="{94539AA7-4A20-4F41-B5B7-5F52F1640B30}"/>
    <cellStyle name="Comma 3" xfId="4" xr:uid="{3CED8C3D-085E-466E-9A25-02AEB1643000}"/>
    <cellStyle name="Comma 4" xfId="5" xr:uid="{258B797B-EFA9-4BAD-94CA-BD5229F6E55A}"/>
    <cellStyle name="Normal" xfId="0" builtinId="0"/>
    <cellStyle name="Normal 2" xfId="3" xr:uid="{A8E7435B-FB1B-4147-9F1F-B07F3C51001E}"/>
    <cellStyle name="Percent" xfId="6" builtinId="5"/>
  </cellStyles>
  <dxfs count="28">
    <dxf>
      <fill>
        <patternFill>
          <bgColor rgb="FFFFFF00"/>
        </patternFill>
      </fill>
    </dxf>
    <dxf>
      <font>
        <color theme="4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rgb="FF9C0006"/>
      </font>
    </dxf>
    <dxf>
      <font>
        <color theme="9"/>
      </font>
    </dxf>
    <dxf>
      <font>
        <color theme="4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rgb="FF9C0006"/>
      </font>
    </dxf>
    <dxf>
      <font>
        <color theme="9"/>
      </font>
    </dxf>
    <dxf>
      <font>
        <color theme="4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theme="4"/>
      </font>
      <fill>
        <patternFill>
          <bgColor theme="0"/>
        </patternFill>
      </fill>
    </dxf>
    <dxf>
      <font>
        <color rgb="FF9C0006"/>
      </font>
    </dxf>
    <dxf>
      <font>
        <color theme="9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4"/>
      </font>
      <fill>
        <patternFill>
          <bgColor theme="0"/>
        </patternFill>
      </fill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font>
        <color rgb="FF9C0006"/>
      </font>
    </dxf>
    <dxf>
      <font>
        <color theme="9"/>
      </font>
    </dxf>
    <dxf>
      <numFmt numFmtId="35" formatCode="_-* #,##0.00_-;\-* #,##0.00_-;_-* &quot;-&quot;??_-;_-@_-"/>
    </dxf>
  </dxfs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EXSRI\EXSRI%202026\REPORT%20EXSRI\REPORT%2005_2026\Job%20Transactions%20May'26.xlsx" TargetMode="External"/><Relationship Id="rId1" Type="http://schemas.openxmlformats.org/officeDocument/2006/relationships/externalLinkPath" Target="file:///\\172.21.50.6\exion$\DATA%20EXSRI\EXSRI%202026\REPORT%20EXSRI\REPORT%2005_2026\Job%20Transactions%20May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/>
      <sheetData sheetId="1"/>
      <sheetData sheetId="2">
        <row r="2">
          <cell r="B2">
            <v>2410010001</v>
          </cell>
          <cell r="C2">
            <v>1345000</v>
          </cell>
        </row>
        <row r="3">
          <cell r="B3">
            <v>2411010002</v>
          </cell>
          <cell r="C3">
            <v>13371622</v>
          </cell>
        </row>
        <row r="4">
          <cell r="B4">
            <v>2411010003</v>
          </cell>
          <cell r="C4">
            <v>11478155.199999999</v>
          </cell>
        </row>
        <row r="5">
          <cell r="B5">
            <v>2412010004</v>
          </cell>
          <cell r="C5">
            <v>39000000</v>
          </cell>
        </row>
        <row r="6">
          <cell r="B6">
            <v>2412010005</v>
          </cell>
          <cell r="C6">
            <v>7404122.5499999998</v>
          </cell>
        </row>
        <row r="7">
          <cell r="B7">
            <v>2412010006</v>
          </cell>
          <cell r="C7">
            <v>3752569.33</v>
          </cell>
        </row>
        <row r="8">
          <cell r="B8">
            <v>2412010007</v>
          </cell>
          <cell r="C8">
            <v>10440345.34</v>
          </cell>
        </row>
        <row r="9">
          <cell r="B9">
            <v>2412010008</v>
          </cell>
          <cell r="C9">
            <v>7543000</v>
          </cell>
        </row>
        <row r="10">
          <cell r="B10">
            <v>2412010009</v>
          </cell>
          <cell r="C10">
            <v>9900000</v>
          </cell>
        </row>
        <row r="11">
          <cell r="B11">
            <v>2412010010</v>
          </cell>
          <cell r="C11">
            <v>8182000</v>
          </cell>
        </row>
        <row r="12">
          <cell r="B12">
            <v>2502010001</v>
          </cell>
          <cell r="C12">
            <v>18000000</v>
          </cell>
        </row>
        <row r="13">
          <cell r="B13">
            <v>2502010002</v>
          </cell>
          <cell r="C13">
            <v>14713637.779999999</v>
          </cell>
        </row>
        <row r="14">
          <cell r="B14">
            <v>2502010003</v>
          </cell>
          <cell r="C14">
            <v>19390825.25</v>
          </cell>
        </row>
        <row r="15">
          <cell r="B15">
            <v>2503010004</v>
          </cell>
          <cell r="C15">
            <v>5875000</v>
          </cell>
        </row>
        <row r="16">
          <cell r="B16">
            <v>2503010005</v>
          </cell>
          <cell r="C16">
            <v>4941948</v>
          </cell>
        </row>
        <row r="17">
          <cell r="B17">
            <v>2503010006</v>
          </cell>
          <cell r="C17">
            <v>3670500</v>
          </cell>
        </row>
        <row r="18">
          <cell r="B18">
            <v>2503010007</v>
          </cell>
          <cell r="C18">
            <v>2466000</v>
          </cell>
        </row>
        <row r="19">
          <cell r="B19">
            <v>2503010008</v>
          </cell>
          <cell r="C19">
            <v>3193200</v>
          </cell>
        </row>
        <row r="20">
          <cell r="B20">
            <v>2503010009</v>
          </cell>
          <cell r="C20">
            <v>1327116.54</v>
          </cell>
        </row>
        <row r="21">
          <cell r="B21">
            <v>2504010010</v>
          </cell>
          <cell r="C21">
            <v>309000</v>
          </cell>
        </row>
        <row r="22">
          <cell r="B22">
            <v>2504010011</v>
          </cell>
          <cell r="C22">
            <v>3179000</v>
          </cell>
        </row>
        <row r="23">
          <cell r="B23">
            <v>2504010012</v>
          </cell>
          <cell r="C23">
            <v>21816114</v>
          </cell>
        </row>
        <row r="24">
          <cell r="B24">
            <v>2504010013</v>
          </cell>
          <cell r="C24">
            <v>0</v>
          </cell>
        </row>
        <row r="25">
          <cell r="B25">
            <v>2505010014</v>
          </cell>
          <cell r="C25">
            <v>2133000</v>
          </cell>
        </row>
        <row r="26">
          <cell r="B26">
            <v>2505010015</v>
          </cell>
          <cell r="C26">
            <v>6882460</v>
          </cell>
        </row>
        <row r="27">
          <cell r="B27">
            <v>2505010016</v>
          </cell>
          <cell r="C27">
            <v>103084838.75</v>
          </cell>
        </row>
        <row r="28">
          <cell r="B28">
            <v>2505010017</v>
          </cell>
          <cell r="C28">
            <v>72513400.75</v>
          </cell>
        </row>
        <row r="29">
          <cell r="B29">
            <v>2505010018</v>
          </cell>
          <cell r="C29">
            <v>-16182989</v>
          </cell>
        </row>
        <row r="30">
          <cell r="B30">
            <v>2507010019</v>
          </cell>
          <cell r="C30">
            <v>100923923.75</v>
          </cell>
        </row>
        <row r="31">
          <cell r="B31">
            <v>2507010020</v>
          </cell>
          <cell r="C31">
            <v>7631857</v>
          </cell>
        </row>
        <row r="32">
          <cell r="B32">
            <v>2507010021</v>
          </cell>
          <cell r="C32">
            <v>14460296</v>
          </cell>
        </row>
        <row r="33">
          <cell r="B33">
            <v>2507010022</v>
          </cell>
          <cell r="C33">
            <v>-6630130</v>
          </cell>
        </row>
        <row r="34">
          <cell r="B34">
            <v>2508010023</v>
          </cell>
          <cell r="C34">
            <v>50371038.75</v>
          </cell>
        </row>
        <row r="35">
          <cell r="B35">
            <v>2508010024</v>
          </cell>
          <cell r="C35">
            <v>1558209.27</v>
          </cell>
        </row>
        <row r="36">
          <cell r="B36">
            <v>2508010025</v>
          </cell>
          <cell r="C36">
            <v>5101441.1100000003</v>
          </cell>
        </row>
        <row r="37">
          <cell r="B37">
            <v>2509010026</v>
          </cell>
          <cell r="C37">
            <v>13788013.619999999</v>
          </cell>
        </row>
        <row r="38">
          <cell r="B38">
            <v>2509010027</v>
          </cell>
          <cell r="C38">
            <v>38120873.5</v>
          </cell>
        </row>
        <row r="39">
          <cell r="B39">
            <v>2509010028</v>
          </cell>
          <cell r="C39">
            <v>2144932.7999999998</v>
          </cell>
        </row>
        <row r="40">
          <cell r="B40">
            <v>2509010029</v>
          </cell>
          <cell r="C40">
            <v>49027336.950000003</v>
          </cell>
        </row>
        <row r="41">
          <cell r="B41">
            <v>2509010030</v>
          </cell>
          <cell r="C41">
            <v>43243919.5</v>
          </cell>
        </row>
        <row r="42">
          <cell r="B42">
            <v>2509010031</v>
          </cell>
          <cell r="C42">
            <v>43237962.5</v>
          </cell>
        </row>
        <row r="43">
          <cell r="B43">
            <v>2510010032</v>
          </cell>
          <cell r="C43">
            <v>257525.5</v>
          </cell>
        </row>
        <row r="44">
          <cell r="B44">
            <v>2510010033</v>
          </cell>
          <cell r="C44">
            <v>64240033</v>
          </cell>
        </row>
        <row r="45">
          <cell r="B45">
            <v>2511010034</v>
          </cell>
          <cell r="C45">
            <v>-201330185.65000001</v>
          </cell>
        </row>
        <row r="46">
          <cell r="B46">
            <v>2511010035</v>
          </cell>
          <cell r="C46">
            <v>-14913022</v>
          </cell>
        </row>
        <row r="47">
          <cell r="B47">
            <v>2511010036</v>
          </cell>
          <cell r="C47">
            <v>14251403.5</v>
          </cell>
        </row>
        <row r="48">
          <cell r="B48">
            <v>2511010037</v>
          </cell>
          <cell r="C48">
            <v>32305920</v>
          </cell>
        </row>
        <row r="49">
          <cell r="B49">
            <v>2511010038</v>
          </cell>
          <cell r="C49">
            <v>43227942</v>
          </cell>
        </row>
        <row r="50">
          <cell r="B50">
            <v>2511010039</v>
          </cell>
          <cell r="C50">
            <v>12331618.369999999</v>
          </cell>
        </row>
        <row r="51">
          <cell r="B51">
            <v>2511010040</v>
          </cell>
          <cell r="C51">
            <v>6202647.5</v>
          </cell>
        </row>
        <row r="52">
          <cell r="B52">
            <v>2511010041</v>
          </cell>
          <cell r="C52">
            <v>43227941</v>
          </cell>
        </row>
        <row r="53">
          <cell r="B53">
            <v>2512010042</v>
          </cell>
          <cell r="C53">
            <v>-7613541</v>
          </cell>
        </row>
        <row r="54">
          <cell r="B54">
            <v>2512010043</v>
          </cell>
          <cell r="C54">
            <v>-37732687.5</v>
          </cell>
        </row>
        <row r="55">
          <cell r="B55">
            <v>2512010044</v>
          </cell>
          <cell r="C55">
            <v>19821230.370000001</v>
          </cell>
        </row>
        <row r="56">
          <cell r="B56">
            <v>2512010045</v>
          </cell>
          <cell r="C56">
            <v>-22626125</v>
          </cell>
        </row>
        <row r="57">
          <cell r="B57">
            <v>2512010046</v>
          </cell>
          <cell r="C57">
            <v>6250000</v>
          </cell>
        </row>
        <row r="58">
          <cell r="B58">
            <v>2512010047</v>
          </cell>
          <cell r="C58">
            <v>40651549.75</v>
          </cell>
        </row>
        <row r="59">
          <cell r="B59">
            <v>2601010001</v>
          </cell>
          <cell r="C59">
            <v>4633145.5</v>
          </cell>
        </row>
        <row r="60">
          <cell r="B60">
            <v>2601010002</v>
          </cell>
          <cell r="C60">
            <v>-119235376</v>
          </cell>
        </row>
        <row r="61">
          <cell r="B61">
            <v>2601010003</v>
          </cell>
          <cell r="C61">
            <v>2821225</v>
          </cell>
        </row>
        <row r="62">
          <cell r="B62">
            <v>2601010004</v>
          </cell>
          <cell r="C62">
            <v>-11845711.939999999</v>
          </cell>
        </row>
        <row r="63">
          <cell r="B63">
            <v>2601010005</v>
          </cell>
          <cell r="C63">
            <v>-278825112.5</v>
          </cell>
        </row>
        <row r="64">
          <cell r="B64">
            <v>2601010006</v>
          </cell>
          <cell r="C64">
            <v>-278825612.5</v>
          </cell>
        </row>
        <row r="65">
          <cell r="B65">
            <v>2601010007</v>
          </cell>
          <cell r="C65">
            <v>-2315501</v>
          </cell>
        </row>
        <row r="66">
          <cell r="B66">
            <v>2601010008</v>
          </cell>
          <cell r="C66">
            <v>-1215350</v>
          </cell>
        </row>
        <row r="67">
          <cell r="B67">
            <v>2601010009</v>
          </cell>
          <cell r="C67">
            <v>6673221</v>
          </cell>
        </row>
        <row r="68">
          <cell r="B68">
            <v>2602010011</v>
          </cell>
          <cell r="C68">
            <v>13338955</v>
          </cell>
        </row>
        <row r="69">
          <cell r="B69">
            <v>2602010012</v>
          </cell>
          <cell r="C69">
            <v>-79419738.75</v>
          </cell>
        </row>
        <row r="70">
          <cell r="B70">
            <v>2602010013</v>
          </cell>
          <cell r="C70">
            <v>4381657</v>
          </cell>
        </row>
        <row r="71">
          <cell r="B71">
            <v>2603010015</v>
          </cell>
          <cell r="C71">
            <v>12072214.5</v>
          </cell>
        </row>
        <row r="72">
          <cell r="B72">
            <v>2603010016</v>
          </cell>
          <cell r="C72">
            <v>861760</v>
          </cell>
        </row>
        <row r="73">
          <cell r="B73">
            <v>2603010017</v>
          </cell>
          <cell r="C73">
            <v>-1872103</v>
          </cell>
        </row>
        <row r="74">
          <cell r="B74">
            <v>2604010018</v>
          </cell>
          <cell r="C74">
            <v>17521737.5</v>
          </cell>
        </row>
        <row r="75">
          <cell r="B75">
            <v>2604010019</v>
          </cell>
          <cell r="C75">
            <v>14289525</v>
          </cell>
        </row>
        <row r="76">
          <cell r="B76">
            <v>2604010022</v>
          </cell>
          <cell r="C76">
            <v>25857614</v>
          </cell>
        </row>
        <row r="77">
          <cell r="B77">
            <v>2604010023</v>
          </cell>
          <cell r="C77">
            <v>-76934592</v>
          </cell>
        </row>
        <row r="78">
          <cell r="B78">
            <v>2605010025</v>
          </cell>
          <cell r="C78">
            <v>-65622656.25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ong Yit Huan Nicole" refreshedDate="45892.535658912035" createdVersion="8" refreshedVersion="8" minRefreshableVersion="3" recordCount="27" xr:uid="{81DEEAEE-4564-4CCF-9AD5-86E11318B02C}">
  <cacheSource type="worksheet">
    <worksheetSource ref="A3:I29" sheet="Order Booking &gt; Billing  2026"/>
  </cacheSource>
  <cacheFields count="9">
    <cacheField name="Customer Name" numFmtId="0">
      <sharedItems count="11">
        <s v="PT BEKASI POWER "/>
        <s v="PLN NUSANTARA POWER"/>
        <s v="PT PLN NPS Anggrek"/>
        <s v="PT. PETROKOPINDO CIPTA SELARAS"/>
        <s v="PT. Pacrim Nusantara Lestari Foods"/>
        <s v="PT PLN Nusantara Power Service"/>
        <s v="PT PLN NPS PLTU Amurang"/>
        <s v="PLN NP UP Tanjung Awar-awar, PT"/>
        <s v="PT Elmoz Geo Solusi"/>
        <s v="PT PLN NP Tanjung Awar-awar"/>
        <s v="PT. JAWAMANIS RAFINASI"/>
      </sharedItems>
    </cacheField>
    <cacheField name="Currency " numFmtId="0">
      <sharedItems/>
    </cacheField>
    <cacheField name="Order Intake_x000a_(PO Amount _x000a_excluding tax )" numFmtId="0">
      <sharedItems containsSemiMixedTypes="0" containsString="0" containsNumber="1" containsInteger="1" minValue="1410000" maxValue="998000000"/>
    </cacheField>
    <cacheField name="Order Intake _x000a_(PO Amount including_x000a_ 11% tax )" numFmtId="43">
      <sharedItems containsSemiMixedTypes="0" containsString="0" containsNumber="1" containsInteger="1" minValue="1565100" maxValue="1107780000"/>
    </cacheField>
    <cacheField name="Order Date" numFmtId="167">
      <sharedItems containsDate="1" containsMixedTypes="1" minDate="2024-10-28T00:00:00" maxDate="2025-07-23T00:00:00"/>
    </cacheField>
    <cacheField name="EDD (GOODS TO CUSTOMER)" numFmtId="171">
      <sharedItems containsNonDate="0" containsDate="1" containsString="0" containsBlank="1" minDate="2025-03-03T00:00:00" maxDate="2025-11-21T00:00:00"/>
    </cacheField>
    <cacheField name="CUSTOMER PO" numFmtId="0">
      <sharedItems containsMixedTypes="1" containsNumber="1" containsInteger="1" minValue="71003595" maxValue="7512031077"/>
    </cacheField>
    <cacheField name="QC Reporting Month" numFmtId="0">
      <sharedItems containsNonDate="0" containsDate="1" containsString="0" containsBlank="1" minDate="2025-01-01T00:00:00" maxDate="2025-07-02T00:00:00" count="6">
        <d v="2025-01-01T00:00:00"/>
        <d v="2025-04-01T00:00:00"/>
        <d v="2025-06-01T00:00:00"/>
        <m/>
        <d v="2025-03-01T00:00:00"/>
        <d v="2025-07-01T00:00:00"/>
      </sharedItems>
    </cacheField>
    <cacheField name="Billed Orders_x000a_ (amount excluding tax )" numFmtId="43">
      <sharedItems containsMixedTypes="1" containsNumber="1" containsInteger="1" minValue="1410000" maxValue="6368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s v="IDR"/>
    <n v="9897324"/>
    <n v="10986030"/>
    <d v="2024-10-28T00:00:00"/>
    <m/>
    <s v="19716"/>
    <x v="0"/>
    <n v="9897324"/>
  </r>
  <r>
    <x v="0"/>
    <s v="IDR"/>
    <n v="15640425"/>
    <n v="17360872"/>
    <d v="2024-10-28T00:00:00"/>
    <m/>
    <s v="19715"/>
    <x v="0"/>
    <n v="15640425"/>
  </r>
  <r>
    <x v="0"/>
    <s v="IDR"/>
    <n v="31840000"/>
    <n v="35342400"/>
    <d v="2024-11-04T00:00:00"/>
    <m/>
    <s v="19739"/>
    <x v="0"/>
    <n v="31840000"/>
  </r>
  <r>
    <x v="1"/>
    <s v="IDR"/>
    <n v="32760000"/>
    <n v="36363600"/>
    <d v="2025-01-10T00:00:00"/>
    <m/>
    <s v="02777.PO/PLN-NPS/2024"/>
    <x v="0"/>
    <n v="32760000"/>
  </r>
  <r>
    <x v="1"/>
    <s v="IDR"/>
    <n v="42900000"/>
    <n v="47619000"/>
    <d v="2025-01-10T00:00:00"/>
    <m/>
    <s v="02778.PO/PLN-NPS/2024"/>
    <x v="0"/>
    <n v="42900000"/>
  </r>
  <r>
    <x v="1"/>
    <s v="IDR"/>
    <n v="35458000"/>
    <n v="39358380"/>
    <d v="2025-01-10T00:00:00"/>
    <m/>
    <s v="02779.PO/PLN-NPS/2024"/>
    <x v="0"/>
    <n v="35458000"/>
  </r>
  <r>
    <x v="2"/>
    <s v="IDR"/>
    <n v="21738375"/>
    <n v="24129596"/>
    <d v="2025-01-27T00:00:00"/>
    <m/>
    <s v="PO 1237"/>
    <x v="1"/>
    <n v="21738375"/>
  </r>
  <r>
    <x v="0"/>
    <s v="IDR"/>
    <n v="63680000"/>
    <n v="70684800"/>
    <d v="2025-01-28T00:00:00"/>
    <d v="2025-04-15T00:00:00"/>
    <s v="PO 20905"/>
    <x v="2"/>
    <n v="63680000"/>
  </r>
  <r>
    <x v="2"/>
    <s v="IDR"/>
    <n v="15905500"/>
    <n v="17655105"/>
    <d v="2025-02-13T00:00:00"/>
    <m/>
    <s v="PO-1245"/>
    <x v="1"/>
    <n v="15905500"/>
  </r>
  <r>
    <x v="3"/>
    <s v="IDR"/>
    <n v="998000000"/>
    <n v="1107780000"/>
    <d v="2025-02-17T00:00:00"/>
    <m/>
    <s v="0735/LG.00.02/PCS.14/2025"/>
    <x v="3"/>
    <s v=""/>
  </r>
  <r>
    <x v="4"/>
    <s v="IDR"/>
    <n v="37631444"/>
    <n v="41770903"/>
    <d v="2025-02-21T00:00:00"/>
    <d v="2025-03-03T00:00:00"/>
    <s v="PO 71003050"/>
    <x v="4"/>
    <n v="37631444"/>
  </r>
  <r>
    <x v="2"/>
    <s v="IDR"/>
    <n v="10686000"/>
    <n v="11861460"/>
    <d v="2025-02-28T00:00:00"/>
    <m/>
    <s v="PO 1262"/>
    <x v="5"/>
    <n v="10686000"/>
  </r>
  <r>
    <x v="2"/>
    <s v="IDR"/>
    <n v="13837200"/>
    <n v="15359292"/>
    <d v="2025-02-28T00:00:00"/>
    <m/>
    <s v="PO 1263"/>
    <x v="5"/>
    <n v="13837200"/>
  </r>
  <r>
    <x v="4"/>
    <s v="IDR"/>
    <n v="11564500"/>
    <n v="12836595"/>
    <d v="2025-03-04T00:00:00"/>
    <d v="2025-03-17T00:00:00"/>
    <s v="PO 71003144"/>
    <x v="4"/>
    <n v="11564500"/>
  </r>
  <r>
    <x v="5"/>
    <s v="IDR"/>
    <n v="44375000"/>
    <n v="49256250"/>
    <d v="2025-03-07T00:00:00"/>
    <m/>
    <s v="POM012"/>
    <x v="4"/>
    <n v="44375000"/>
  </r>
  <r>
    <x v="6"/>
    <s v="IDR"/>
    <n v="1410000"/>
    <n v="1565100"/>
    <d v="2025-03-24T00:00:00"/>
    <m/>
    <s v="PO 1106.BL/PLN-NPS-AM/2025"/>
    <x v="5"/>
    <n v="1410000"/>
  </r>
  <r>
    <x v="6"/>
    <s v="IDR"/>
    <n v="41750000"/>
    <n v="46342500"/>
    <d v="2025-04-10T00:00:00"/>
    <m/>
    <s v="PO 1129.SP/PLN-NPS-AM/2025"/>
    <x v="5"/>
    <n v="41750000"/>
  </r>
  <r>
    <x v="6"/>
    <s v="IDR"/>
    <n v="6850400"/>
    <n v="7603944"/>
    <s v="11 April 2025"/>
    <m/>
    <s v="PO 1126.BL/PLN-NPS-AM/2025"/>
    <x v="5"/>
    <n v="6850400"/>
  </r>
  <r>
    <x v="7"/>
    <s v="IDR"/>
    <n v="211000000"/>
    <n v="234210000"/>
    <d v="2025-04-15T00:00:00"/>
    <d v="2025-07-14T00:00:00"/>
    <s v="TAC245.SPK/612/UPTA/2025"/>
    <x v="3"/>
    <s v=""/>
  </r>
  <r>
    <x v="7"/>
    <s v="IDR"/>
    <n v="229000000"/>
    <n v="254190000"/>
    <d v="2025-04-15T00:00:00"/>
    <d v="2025-07-17T00:00:00"/>
    <s v="TAC244.SPK/612/UPTA/2025"/>
    <x v="3"/>
    <s v=""/>
  </r>
  <r>
    <x v="8"/>
    <s v="IDR"/>
    <n v="64080000"/>
    <n v="71128800"/>
    <d v="2025-04-16T00:00:00"/>
    <d v="2025-06-24T00:00:00"/>
    <s v="PO/EGS/2504/00545-Rev1"/>
    <x v="3"/>
    <s v=""/>
  </r>
  <r>
    <x v="6"/>
    <s v="IDR"/>
    <n v="6850400"/>
    <n v="7603944"/>
    <d v="2025-05-06T00:00:00"/>
    <m/>
    <s v="1153.BL/PLN-NPS-AM/2025"/>
    <x v="5"/>
    <n v="6850400"/>
  </r>
  <r>
    <x v="5"/>
    <s v="IDR"/>
    <n v="44000000"/>
    <n v="48840000"/>
    <d v="2025-05-27T00:00:00"/>
    <d v="2025-06-16T00:00:00"/>
    <s v="1168.SP/PLN-NPS-AM/2025"/>
    <x v="3"/>
    <s v=""/>
  </r>
  <r>
    <x v="4"/>
    <s v="IDR"/>
    <n v="21338857"/>
    <n v="23686131"/>
    <d v="2025-07-01T00:00:00"/>
    <d v="2025-08-31T00:00:00"/>
    <n v="71003595"/>
    <x v="3"/>
    <s v=""/>
  </r>
  <r>
    <x v="9"/>
    <s v="IDR"/>
    <n v="229000000"/>
    <n v="254190000"/>
    <d v="2025-07-07T00:00:00"/>
    <d v="2025-08-01T00:00:00"/>
    <s v="TAC493.SPK/612/UPTA/2025"/>
    <x v="3"/>
    <s v=""/>
  </r>
  <r>
    <x v="10"/>
    <s v="IDR"/>
    <n v="138000000"/>
    <n v="153180000"/>
    <d v="2025-07-21T00:00:00"/>
    <d v="2025-11-20T00:00:00"/>
    <n v="7512031077"/>
    <x v="3"/>
    <s v=""/>
  </r>
  <r>
    <x v="8"/>
    <s v="IDR"/>
    <n v="9500000"/>
    <n v="10545000"/>
    <d v="2025-07-22T00:00:00"/>
    <d v="2025-09-23T00:00:00"/>
    <s v="PO/EGS/2507/01043"/>
    <x v="3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4B4F3-3FA2-4BFD-AFB8-A61A6835C02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A3:G11" firstHeaderRow="1" firstDataRow="2" firstDataCol="1"/>
  <pivotFields count="9">
    <pivotField axis="axisRow" showAll="0">
      <items count="12">
        <item x="7"/>
        <item x="1"/>
        <item x="0"/>
        <item x="8"/>
        <item x="9"/>
        <item x="2"/>
        <item x="6"/>
        <item x="5"/>
        <item x="10"/>
        <item x="4"/>
        <item x="3"/>
        <item t="default"/>
      </items>
    </pivotField>
    <pivotField showAll="0"/>
    <pivotField showAll="0"/>
    <pivotField numFmtId="43" showAll="0"/>
    <pivotField showAll="0"/>
    <pivotField showAll="0"/>
    <pivotField showAll="0"/>
    <pivotField axis="axisCol" multipleItemSelectionAllowed="1" showAll="0">
      <items count="7">
        <item x="0"/>
        <item x="4"/>
        <item x="1"/>
        <item x="2"/>
        <item x="5"/>
        <item h="1" x="3"/>
        <item t="default"/>
      </items>
    </pivotField>
    <pivotField dataField="1" showAll="0"/>
  </pivotFields>
  <rowFields count="1">
    <field x="0"/>
  </rowFields>
  <rowItems count="7">
    <i>
      <x v="1"/>
    </i>
    <i>
      <x v="2"/>
    </i>
    <i>
      <x v="5"/>
    </i>
    <i>
      <x v="6"/>
    </i>
    <i>
      <x v="7"/>
    </i>
    <i>
      <x v="9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Billed Orders" fld="8" baseField="0" baseItem="0" numFmtId="43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C3071-3D6B-465B-BA99-98C07ACE62CC}">
  <dimension ref="A1:Q40"/>
  <sheetViews>
    <sheetView topLeftCell="D1" zoomScale="85" workbookViewId="0">
      <selection activeCell="H10" sqref="H10"/>
    </sheetView>
  </sheetViews>
  <sheetFormatPr defaultRowHeight="14.4" x14ac:dyDescent="0.3"/>
  <cols>
    <col min="1" max="1" width="2.5546875" customWidth="1"/>
    <col min="2" max="2" width="33.44140625" bestFit="1" customWidth="1"/>
    <col min="3" max="3" width="14.6640625" bestFit="1" customWidth="1"/>
    <col min="4" max="5" width="14.5546875" bestFit="1" customWidth="1"/>
    <col min="6" max="6" width="10.6640625" bestFit="1" customWidth="1"/>
    <col min="7" max="7" width="14.5546875" bestFit="1" customWidth="1"/>
    <col min="8" max="8" width="39" bestFit="1" customWidth="1"/>
    <col min="9" max="9" width="36.109375" customWidth="1"/>
    <col min="10" max="10" width="10.5546875" bestFit="1" customWidth="1"/>
    <col min="11" max="11" width="15.44140625" bestFit="1" customWidth="1"/>
    <col min="12" max="12" width="10.6640625" bestFit="1" customWidth="1"/>
    <col min="13" max="13" width="17.33203125" bestFit="1" customWidth="1"/>
    <col min="14" max="14" width="14.5546875" bestFit="1" customWidth="1"/>
    <col min="15" max="15" width="10.109375" bestFit="1" customWidth="1"/>
    <col min="16" max="16" width="12.109375" bestFit="1" customWidth="1"/>
    <col min="17" max="17" width="4.44140625" bestFit="1" customWidth="1"/>
  </cols>
  <sheetData>
    <row r="1" spans="1:17" x14ac:dyDescent="0.3">
      <c r="B1" s="107" t="s">
        <v>0</v>
      </c>
      <c r="C1" s="6"/>
      <c r="D1" s="6"/>
      <c r="E1" s="6"/>
      <c r="F1" s="12"/>
      <c r="G1" s="12"/>
      <c r="H1" s="6"/>
      <c r="I1" s="6"/>
      <c r="L1" s="6"/>
      <c r="M1" s="6"/>
      <c r="N1" s="6"/>
      <c r="O1" s="6"/>
      <c r="P1" s="6"/>
      <c r="Q1" s="7"/>
    </row>
    <row r="2" spans="1:17" x14ac:dyDescent="0.3">
      <c r="B2" s="8" t="s">
        <v>1</v>
      </c>
      <c r="C2" s="6"/>
      <c r="D2" s="6"/>
      <c r="E2" s="6"/>
      <c r="F2" s="12"/>
      <c r="G2" s="12"/>
      <c r="H2" s="6"/>
      <c r="I2" s="6"/>
      <c r="L2" s="6"/>
      <c r="M2" s="6"/>
      <c r="N2" s="6"/>
      <c r="O2" s="6"/>
      <c r="P2" s="6"/>
      <c r="Q2" s="7"/>
    </row>
    <row r="3" spans="1:17" ht="55.2" x14ac:dyDescent="0.3">
      <c r="B3" s="108" t="s">
        <v>2</v>
      </c>
      <c r="C3" s="109" t="s">
        <v>3</v>
      </c>
      <c r="D3" s="110" t="s">
        <v>4</v>
      </c>
      <c r="E3" s="110" t="s">
        <v>5</v>
      </c>
      <c r="F3" s="111" t="s">
        <v>6</v>
      </c>
      <c r="G3" s="111" t="s">
        <v>7</v>
      </c>
      <c r="H3" s="110" t="s">
        <v>8</v>
      </c>
      <c r="I3" s="110" t="s">
        <v>9</v>
      </c>
      <c r="J3" s="112" t="s">
        <v>10</v>
      </c>
      <c r="K3" s="112" t="s">
        <v>11</v>
      </c>
      <c r="L3" s="110" t="s">
        <v>12</v>
      </c>
      <c r="M3" s="113" t="s">
        <v>13</v>
      </c>
      <c r="N3" s="109" t="s">
        <v>14</v>
      </c>
      <c r="O3" s="109" t="s">
        <v>15</v>
      </c>
      <c r="P3" s="109" t="s">
        <v>16</v>
      </c>
      <c r="Q3" s="114" t="s">
        <v>17</v>
      </c>
    </row>
    <row r="4" spans="1:17" x14ac:dyDescent="0.3">
      <c r="A4">
        <v>1</v>
      </c>
      <c r="B4" s="115" t="s">
        <v>18</v>
      </c>
      <c r="C4" s="116" t="s">
        <v>19</v>
      </c>
      <c r="D4" s="117">
        <v>45038703</v>
      </c>
      <c r="E4" s="118">
        <v>49992960.330000006</v>
      </c>
      <c r="F4" s="119">
        <v>45567</v>
      </c>
      <c r="G4" s="120" t="s">
        <v>20</v>
      </c>
      <c r="H4" s="121">
        <v>45038703</v>
      </c>
      <c r="I4" s="121">
        <v>49992960.330000006</v>
      </c>
      <c r="J4" s="122">
        <v>45577</v>
      </c>
      <c r="K4" s="123" t="s">
        <v>21</v>
      </c>
      <c r="L4" s="116" t="s">
        <v>22</v>
      </c>
      <c r="M4" s="116" t="s">
        <v>23</v>
      </c>
      <c r="N4" s="116" t="s">
        <v>24</v>
      </c>
      <c r="O4" s="116" t="s">
        <v>25</v>
      </c>
      <c r="P4" s="116" t="s">
        <v>26</v>
      </c>
      <c r="Q4" s="124"/>
    </row>
    <row r="5" spans="1:17" x14ac:dyDescent="0.3">
      <c r="A5">
        <v>2</v>
      </c>
      <c r="B5" s="115" t="s">
        <v>27</v>
      </c>
      <c r="C5" s="116" t="s">
        <v>19</v>
      </c>
      <c r="D5" s="117">
        <v>5160000</v>
      </c>
      <c r="E5" s="118">
        <v>5727600.0000000009</v>
      </c>
      <c r="F5" s="119">
        <v>45586</v>
      </c>
      <c r="G5" s="119" t="s">
        <v>28</v>
      </c>
      <c r="H5" s="121">
        <v>5160000</v>
      </c>
      <c r="I5" s="121">
        <v>5727600.0000000009</v>
      </c>
      <c r="J5" s="122" t="s">
        <v>29</v>
      </c>
      <c r="K5" s="123" t="s">
        <v>30</v>
      </c>
      <c r="L5" s="116" t="s">
        <v>31</v>
      </c>
      <c r="M5" s="116" t="s">
        <v>32</v>
      </c>
      <c r="N5" s="116" t="s">
        <v>33</v>
      </c>
      <c r="O5" s="116" t="s">
        <v>34</v>
      </c>
      <c r="P5" s="116" t="s">
        <v>26</v>
      </c>
      <c r="Q5" s="124"/>
    </row>
    <row r="6" spans="1:17" x14ac:dyDescent="0.3">
      <c r="A6">
        <v>3</v>
      </c>
      <c r="B6" s="125" t="s">
        <v>35</v>
      </c>
      <c r="C6" s="116" t="s">
        <v>19</v>
      </c>
      <c r="D6" s="126">
        <v>9897324.25</v>
      </c>
      <c r="E6" s="118">
        <v>10986029.9175</v>
      </c>
      <c r="F6" s="119">
        <v>45593</v>
      </c>
      <c r="G6" s="120" t="s">
        <v>36</v>
      </c>
      <c r="H6" s="127"/>
      <c r="I6" s="121"/>
      <c r="J6" s="116"/>
      <c r="K6" s="116"/>
      <c r="L6" s="116" t="s">
        <v>37</v>
      </c>
      <c r="M6" s="116" t="s">
        <v>38</v>
      </c>
      <c r="N6" s="116" t="s">
        <v>39</v>
      </c>
      <c r="O6" s="116" t="s">
        <v>40</v>
      </c>
      <c r="P6" s="116" t="s">
        <v>41</v>
      </c>
      <c r="Q6" s="124"/>
    </row>
    <row r="7" spans="1:17" x14ac:dyDescent="0.3">
      <c r="A7">
        <v>4</v>
      </c>
      <c r="B7" s="125" t="s">
        <v>35</v>
      </c>
      <c r="C7" s="116" t="s">
        <v>19</v>
      </c>
      <c r="D7" s="126">
        <v>15640425</v>
      </c>
      <c r="E7" s="118">
        <v>17360871.75</v>
      </c>
      <c r="F7" s="119">
        <v>45593</v>
      </c>
      <c r="G7" s="120" t="s">
        <v>42</v>
      </c>
      <c r="H7" s="121"/>
      <c r="I7" s="121"/>
      <c r="J7" s="128"/>
      <c r="K7" s="128"/>
      <c r="L7" s="116" t="s">
        <v>43</v>
      </c>
      <c r="M7" s="116" t="s">
        <v>44</v>
      </c>
      <c r="N7" s="116" t="s">
        <v>39</v>
      </c>
      <c r="O7" s="116" t="s">
        <v>40</v>
      </c>
      <c r="P7" s="116" t="s">
        <v>41</v>
      </c>
      <c r="Q7" s="124"/>
    </row>
    <row r="8" spans="1:17" x14ac:dyDescent="0.3">
      <c r="A8">
        <v>5</v>
      </c>
      <c r="B8" s="125" t="s">
        <v>35</v>
      </c>
      <c r="C8" s="116" t="s">
        <v>19</v>
      </c>
      <c r="D8" s="126">
        <v>31840000</v>
      </c>
      <c r="E8" s="118">
        <v>35342400</v>
      </c>
      <c r="F8" s="119">
        <v>45600</v>
      </c>
      <c r="G8" s="120" t="s">
        <v>45</v>
      </c>
      <c r="H8" s="121"/>
      <c r="I8" s="121"/>
      <c r="J8" s="116"/>
      <c r="K8" s="116"/>
      <c r="L8" s="116" t="s">
        <v>46</v>
      </c>
      <c r="M8" s="116" t="s">
        <v>47</v>
      </c>
      <c r="N8" s="116" t="s">
        <v>48</v>
      </c>
      <c r="O8" s="116" t="s">
        <v>34</v>
      </c>
      <c r="P8" s="116" t="s">
        <v>41</v>
      </c>
      <c r="Q8" s="124"/>
    </row>
    <row r="9" spans="1:17" x14ac:dyDescent="0.3">
      <c r="A9">
        <v>6</v>
      </c>
      <c r="B9" s="125" t="s">
        <v>49</v>
      </c>
      <c r="C9" s="116" t="s">
        <v>19</v>
      </c>
      <c r="D9" s="117">
        <v>75871621.620000005</v>
      </c>
      <c r="E9" s="118">
        <v>84217499.998200014</v>
      </c>
      <c r="F9" s="119">
        <v>45621</v>
      </c>
      <c r="G9" s="119" t="s">
        <v>50</v>
      </c>
      <c r="H9" s="127">
        <v>75871621.620000005</v>
      </c>
      <c r="I9" s="121">
        <v>84217499.998200014</v>
      </c>
      <c r="J9" s="122" t="s">
        <v>51</v>
      </c>
      <c r="K9" s="123" t="s">
        <v>52</v>
      </c>
      <c r="L9" s="116" t="s">
        <v>53</v>
      </c>
      <c r="M9" s="116" t="s">
        <v>54</v>
      </c>
      <c r="N9" s="116" t="s">
        <v>55</v>
      </c>
      <c r="O9" s="116" t="s">
        <v>56</v>
      </c>
      <c r="P9" s="116" t="s">
        <v>26</v>
      </c>
      <c r="Q9" s="124"/>
    </row>
    <row r="10" spans="1:17" x14ac:dyDescent="0.3">
      <c r="A10">
        <v>7</v>
      </c>
      <c r="B10" s="129" t="s">
        <v>57</v>
      </c>
      <c r="C10" s="116" t="s">
        <v>19</v>
      </c>
      <c r="D10" s="130">
        <v>59000000</v>
      </c>
      <c r="E10" s="118">
        <v>65490000.000000007</v>
      </c>
      <c r="F10" s="131">
        <v>45629</v>
      </c>
      <c r="G10" s="131" t="s">
        <v>58</v>
      </c>
      <c r="H10" s="127">
        <v>59000000</v>
      </c>
      <c r="I10" s="121">
        <v>65490000.000000007</v>
      </c>
      <c r="J10" s="122">
        <v>45577</v>
      </c>
      <c r="K10" s="123" t="s">
        <v>59</v>
      </c>
      <c r="L10" s="116" t="s">
        <v>53</v>
      </c>
      <c r="M10" s="128" t="s">
        <v>60</v>
      </c>
      <c r="N10" s="128" t="s">
        <v>61</v>
      </c>
      <c r="O10" s="116" t="s">
        <v>56</v>
      </c>
      <c r="P10" s="116" t="s">
        <v>26</v>
      </c>
      <c r="Q10" s="124"/>
    </row>
    <row r="11" spans="1:17" x14ac:dyDescent="0.3">
      <c r="B11" s="115"/>
      <c r="C11" s="116"/>
      <c r="D11" s="126"/>
      <c r="E11" s="118">
        <v>0</v>
      </c>
      <c r="F11" s="119"/>
      <c r="G11" s="119"/>
      <c r="H11" s="127"/>
      <c r="I11" s="121">
        <v>0</v>
      </c>
      <c r="J11" s="116"/>
      <c r="K11" s="116"/>
      <c r="L11" s="116"/>
      <c r="M11" s="132"/>
      <c r="N11" s="125"/>
      <c r="O11" s="116"/>
      <c r="P11" s="116"/>
      <c r="Q11" s="124"/>
    </row>
    <row r="12" spans="1:17" x14ac:dyDescent="0.3">
      <c r="B12" s="125"/>
      <c r="C12" s="116"/>
      <c r="D12" s="126"/>
      <c r="E12" s="118">
        <v>0</v>
      </c>
      <c r="F12" s="119"/>
      <c r="G12" s="119"/>
      <c r="H12" s="127"/>
      <c r="I12" s="121">
        <v>0</v>
      </c>
      <c r="J12" s="116"/>
      <c r="K12" s="116"/>
      <c r="L12" s="128"/>
      <c r="M12" s="128"/>
      <c r="N12" s="128"/>
      <c r="O12" s="128"/>
      <c r="P12" s="116"/>
      <c r="Q12" s="124"/>
    </row>
    <row r="13" spans="1:17" x14ac:dyDescent="0.3">
      <c r="B13" s="115"/>
      <c r="C13" s="116"/>
      <c r="D13" s="126"/>
      <c r="E13" s="118">
        <v>0</v>
      </c>
      <c r="F13" s="119"/>
      <c r="G13" s="119"/>
      <c r="H13" s="127"/>
      <c r="I13" s="121">
        <v>0</v>
      </c>
      <c r="J13" s="116"/>
      <c r="K13" s="116"/>
      <c r="L13" s="116"/>
      <c r="M13" s="132"/>
      <c r="N13" s="125"/>
      <c r="O13" s="116"/>
      <c r="P13" s="116"/>
      <c r="Q13" s="124"/>
    </row>
    <row r="14" spans="1:17" x14ac:dyDescent="0.3">
      <c r="B14" s="115"/>
      <c r="C14" s="116"/>
      <c r="D14" s="126"/>
      <c r="E14" s="118">
        <v>0</v>
      </c>
      <c r="F14" s="119"/>
      <c r="G14" s="119"/>
      <c r="H14" s="127"/>
      <c r="I14" s="121">
        <v>0</v>
      </c>
      <c r="J14" s="116"/>
      <c r="K14" s="116"/>
      <c r="L14" s="116"/>
      <c r="M14" s="132"/>
      <c r="N14" s="125"/>
      <c r="O14" s="116"/>
      <c r="P14" s="116"/>
      <c r="Q14" s="124"/>
    </row>
    <row r="15" spans="1:17" x14ac:dyDescent="0.3">
      <c r="B15" s="125"/>
      <c r="C15" s="116"/>
      <c r="D15" s="126"/>
      <c r="E15" s="118">
        <v>0</v>
      </c>
      <c r="F15" s="133"/>
      <c r="G15" s="133"/>
      <c r="H15" s="127"/>
      <c r="I15" s="121">
        <v>0</v>
      </c>
      <c r="J15" s="116"/>
      <c r="K15" s="116"/>
      <c r="L15" s="128"/>
      <c r="M15" s="128"/>
      <c r="N15" s="128"/>
      <c r="O15" s="128"/>
      <c r="P15" s="116"/>
      <c r="Q15" s="124"/>
    </row>
    <row r="16" spans="1:17" x14ac:dyDescent="0.3">
      <c r="B16" s="125"/>
      <c r="C16" s="116"/>
      <c r="D16" s="126"/>
      <c r="E16" s="118">
        <v>0</v>
      </c>
      <c r="F16" s="133"/>
      <c r="G16" s="133"/>
      <c r="H16" s="127"/>
      <c r="I16" s="121">
        <v>0</v>
      </c>
      <c r="J16" s="116"/>
      <c r="K16" s="116"/>
      <c r="L16" s="128"/>
      <c r="M16" s="128"/>
      <c r="N16" s="128"/>
      <c r="O16" s="128"/>
      <c r="P16" s="116"/>
      <c r="Q16" s="124"/>
    </row>
    <row r="17" spans="2:17" x14ac:dyDescent="0.3">
      <c r="B17" s="134"/>
      <c r="C17" s="135"/>
      <c r="D17" s="136"/>
      <c r="E17" s="118">
        <v>0</v>
      </c>
      <c r="F17" s="133"/>
      <c r="G17" s="133"/>
      <c r="H17" s="127"/>
      <c r="I17" s="121">
        <v>0</v>
      </c>
      <c r="J17" s="116"/>
      <c r="K17" s="116"/>
      <c r="L17" s="135"/>
      <c r="M17" s="137"/>
      <c r="N17" s="138"/>
      <c r="O17" s="135"/>
      <c r="P17" s="135"/>
      <c r="Q17" s="124"/>
    </row>
    <row r="18" spans="2:17" x14ac:dyDescent="0.3">
      <c r="B18" s="125"/>
      <c r="C18" s="116"/>
      <c r="D18" s="126"/>
      <c r="E18" s="118">
        <v>0</v>
      </c>
      <c r="F18" s="133"/>
      <c r="G18" s="133"/>
      <c r="H18" s="127"/>
      <c r="I18" s="121">
        <v>0</v>
      </c>
      <c r="J18" s="116"/>
      <c r="K18" s="116"/>
      <c r="L18" s="128"/>
      <c r="M18" s="128"/>
      <c r="N18" s="128"/>
      <c r="O18" s="128"/>
      <c r="P18" s="116"/>
      <c r="Q18" s="139"/>
    </row>
    <row r="19" spans="2:17" x14ac:dyDescent="0.3">
      <c r="B19" s="125"/>
      <c r="C19" s="116"/>
      <c r="D19" s="126"/>
      <c r="E19" s="118">
        <v>0</v>
      </c>
      <c r="F19" s="119"/>
      <c r="G19" s="119"/>
      <c r="H19" s="127"/>
      <c r="I19" s="121">
        <v>0</v>
      </c>
      <c r="J19" s="116"/>
      <c r="K19" s="116"/>
      <c r="L19" s="128"/>
      <c r="M19" s="128"/>
      <c r="N19" s="128"/>
      <c r="O19" s="128"/>
      <c r="P19" s="116"/>
      <c r="Q19" s="139"/>
    </row>
    <row r="20" spans="2:17" x14ac:dyDescent="0.3">
      <c r="B20" s="125"/>
      <c r="C20" s="116"/>
      <c r="D20" s="126"/>
      <c r="E20" s="118">
        <v>0</v>
      </c>
      <c r="F20" s="119"/>
      <c r="G20" s="119"/>
      <c r="H20" s="127"/>
      <c r="I20" s="121">
        <v>0</v>
      </c>
      <c r="J20" s="116"/>
      <c r="K20" s="116"/>
      <c r="L20" s="128"/>
      <c r="M20" s="128"/>
      <c r="N20" s="128"/>
      <c r="O20" s="128"/>
      <c r="P20" s="116"/>
      <c r="Q20" s="139"/>
    </row>
    <row r="21" spans="2:17" x14ac:dyDescent="0.3">
      <c r="B21" s="125"/>
      <c r="C21" s="116"/>
      <c r="D21" s="126"/>
      <c r="E21" s="118">
        <v>0</v>
      </c>
      <c r="F21" s="119"/>
      <c r="G21" s="119"/>
      <c r="H21" s="127"/>
      <c r="I21" s="121">
        <v>0</v>
      </c>
      <c r="J21" s="116"/>
      <c r="K21" s="116"/>
      <c r="L21" s="116"/>
      <c r="M21" s="132"/>
      <c r="N21" s="116"/>
      <c r="O21" s="116"/>
      <c r="P21" s="116"/>
      <c r="Q21" s="139"/>
    </row>
    <row r="22" spans="2:17" x14ac:dyDescent="0.3">
      <c r="B22" s="125"/>
      <c r="C22" s="116"/>
      <c r="D22" s="126"/>
      <c r="E22" s="118">
        <v>0</v>
      </c>
      <c r="F22" s="119"/>
      <c r="G22" s="119"/>
      <c r="H22" s="127"/>
      <c r="I22" s="121">
        <v>0</v>
      </c>
      <c r="J22" s="116"/>
      <c r="K22" s="116"/>
      <c r="L22" s="116"/>
      <c r="M22" s="132"/>
      <c r="N22" s="116"/>
      <c r="O22" s="116"/>
      <c r="P22" s="116"/>
      <c r="Q22" s="139"/>
    </row>
    <row r="23" spans="2:17" x14ac:dyDescent="0.3">
      <c r="B23" s="140"/>
      <c r="C23" s="116"/>
      <c r="D23" s="126"/>
      <c r="E23" s="118">
        <v>0</v>
      </c>
      <c r="F23" s="119"/>
      <c r="G23" s="119"/>
      <c r="H23" s="127"/>
      <c r="I23" s="121">
        <v>0</v>
      </c>
      <c r="J23" s="125"/>
      <c r="K23" s="125"/>
      <c r="L23" s="116"/>
      <c r="M23" s="132"/>
      <c r="N23" s="125"/>
      <c r="O23" s="116"/>
      <c r="P23" s="116"/>
      <c r="Q23" s="139"/>
    </row>
    <row r="24" spans="2:17" x14ac:dyDescent="0.3">
      <c r="B24" s="125"/>
      <c r="C24" s="116"/>
      <c r="D24" s="126"/>
      <c r="E24" s="118">
        <v>0</v>
      </c>
      <c r="F24" s="119"/>
      <c r="G24" s="119"/>
      <c r="H24" s="127"/>
      <c r="I24" s="121">
        <v>0</v>
      </c>
      <c r="J24" s="125"/>
      <c r="K24" s="125"/>
      <c r="L24" s="128"/>
      <c r="M24" s="128"/>
      <c r="N24" s="128"/>
      <c r="O24" s="128"/>
      <c r="P24" s="116"/>
      <c r="Q24" s="139"/>
    </row>
    <row r="25" spans="2:17" x14ac:dyDescent="0.3">
      <c r="B25" s="125"/>
      <c r="C25" s="116"/>
      <c r="D25" s="126"/>
      <c r="E25" s="118">
        <v>0</v>
      </c>
      <c r="F25" s="119"/>
      <c r="G25" s="119"/>
      <c r="H25" s="127"/>
      <c r="I25" s="121">
        <v>0</v>
      </c>
      <c r="J25" s="125"/>
      <c r="K25" s="125"/>
      <c r="L25" s="128"/>
      <c r="M25" s="128"/>
      <c r="N25" s="128"/>
      <c r="O25" s="128"/>
      <c r="P25" s="116"/>
      <c r="Q25" s="139"/>
    </row>
    <row r="33" spans="3:9" ht="55.2" x14ac:dyDescent="0.3">
      <c r="C33" s="141" t="s">
        <v>62</v>
      </c>
      <c r="D33" s="141" t="s">
        <v>4</v>
      </c>
      <c r="E33" s="141" t="s">
        <v>5</v>
      </c>
      <c r="G33" s="142" t="s">
        <v>63</v>
      </c>
      <c r="H33" s="142" t="s">
        <v>64</v>
      </c>
      <c r="I33" s="142" t="s">
        <v>65</v>
      </c>
    </row>
    <row r="34" spans="3:9" x14ac:dyDescent="0.3">
      <c r="C34" s="143" t="s">
        <v>66</v>
      </c>
      <c r="D34" s="121">
        <v>75736452.25</v>
      </c>
      <c r="E34" s="121">
        <v>84067461.997500002</v>
      </c>
      <c r="G34" s="144" t="s">
        <v>26</v>
      </c>
      <c r="H34" s="145">
        <v>185070324.62</v>
      </c>
      <c r="I34" s="145">
        <v>205428060.32820001</v>
      </c>
    </row>
    <row r="35" spans="3:9" x14ac:dyDescent="0.3">
      <c r="C35" s="143" t="s">
        <v>67</v>
      </c>
      <c r="D35" s="121">
        <v>107711621.62</v>
      </c>
      <c r="E35" s="121">
        <v>119559899.99820001</v>
      </c>
      <c r="G35" s="146" t="s">
        <v>41</v>
      </c>
      <c r="H35" s="147">
        <v>57377749.25</v>
      </c>
      <c r="I35" s="147">
        <v>63689301.667500004</v>
      </c>
    </row>
    <row r="36" spans="3:9" x14ac:dyDescent="0.3">
      <c r="C36" s="143" t="s">
        <v>68</v>
      </c>
      <c r="D36" s="121">
        <v>59000000</v>
      </c>
      <c r="E36" s="121">
        <v>65490000.000000007</v>
      </c>
      <c r="G36" s="15" t="s">
        <v>69</v>
      </c>
      <c r="H36" s="16"/>
      <c r="I36" s="17">
        <v>0</v>
      </c>
    </row>
    <row r="37" spans="3:9" x14ac:dyDescent="0.3">
      <c r="C37" s="148" t="s">
        <v>70</v>
      </c>
      <c r="D37" s="121">
        <v>242448073.87</v>
      </c>
      <c r="E37" s="121">
        <v>269117361.9957</v>
      </c>
      <c r="G37" s="9" t="s">
        <v>71</v>
      </c>
      <c r="H37" s="14">
        <v>242448073.87</v>
      </c>
      <c r="I37" s="10">
        <v>269117361.9957</v>
      </c>
    </row>
    <row r="38" spans="3:9" x14ac:dyDescent="0.3">
      <c r="G38" s="13"/>
      <c r="H38" s="13"/>
      <c r="I38" s="13"/>
    </row>
    <row r="39" spans="3:9" x14ac:dyDescent="0.3">
      <c r="G39" s="13"/>
      <c r="H39" s="13"/>
      <c r="I39" s="13"/>
    </row>
    <row r="40" spans="3:9" x14ac:dyDescent="0.3">
      <c r="C40" s="148" t="s">
        <v>72</v>
      </c>
      <c r="D40" s="121">
        <v>19395.845909600001</v>
      </c>
      <c r="E40" s="121">
        <v>21529.388959656</v>
      </c>
    </row>
  </sheetData>
  <conditionalFormatting sqref="P1:P1048576">
    <cfRule type="containsText" dxfId="26" priority="1" operator="containsText" text="Open">
      <formula>NOT(ISERROR(SEARCH("Open",P1)))</formula>
    </cfRule>
    <cfRule type="containsText" dxfId="25" priority="2" operator="containsText" text="Closed (Billed)">
      <formula>NOT(ISERROR(SEARCH("Closed (Billed)",P1)))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15BF-0D92-42B5-9859-EC01FD677F6A}">
  <dimension ref="A1:R52"/>
  <sheetViews>
    <sheetView topLeftCell="B3" zoomScale="64" workbookViewId="0">
      <selection activeCell="F25" sqref="F25"/>
    </sheetView>
  </sheetViews>
  <sheetFormatPr defaultColWidth="8.6640625" defaultRowHeight="14.4" x14ac:dyDescent="0.3"/>
  <cols>
    <col min="1" max="1" width="3.109375" style="20" customWidth="1"/>
    <col min="2" max="2" width="33.44140625" bestFit="1" customWidth="1"/>
    <col min="3" max="3" width="12" customWidth="1"/>
    <col min="4" max="4" width="14.6640625" bestFit="1" customWidth="1"/>
    <col min="5" max="5" width="16" bestFit="1" customWidth="1"/>
    <col min="6" max="6" width="16" customWidth="1"/>
    <col min="7" max="7" width="10.6640625" customWidth="1"/>
    <col min="8" max="8" width="12.5546875" customWidth="1"/>
    <col min="9" max="9" width="28.6640625" customWidth="1"/>
    <col min="10" max="10" width="36.33203125" bestFit="1" customWidth="1"/>
    <col min="11" max="11" width="39.109375" bestFit="1" customWidth="1"/>
    <col min="12" max="12" width="15.44140625" customWidth="1"/>
    <col min="13" max="13" width="10.6640625" customWidth="1"/>
    <col min="14" max="14" width="17.33203125" customWidth="1"/>
    <col min="15" max="15" width="16.6640625" customWidth="1"/>
    <col min="16" max="16" width="10.109375" customWidth="1"/>
    <col min="17" max="17" width="12.109375" bestFit="1" customWidth="1"/>
    <col min="18" max="18" width="8.88671875" bestFit="1" customWidth="1"/>
  </cols>
  <sheetData>
    <row r="1" spans="1:18" x14ac:dyDescent="0.3">
      <c r="B1" s="107" t="s">
        <v>0</v>
      </c>
      <c r="C1" s="8"/>
    </row>
    <row r="2" spans="1:18" x14ac:dyDescent="0.3">
      <c r="B2" s="8" t="s">
        <v>1</v>
      </c>
      <c r="C2" s="8"/>
    </row>
    <row r="3" spans="1:18" ht="55.2" x14ac:dyDescent="0.3">
      <c r="B3" s="108" t="s">
        <v>2</v>
      </c>
      <c r="C3" s="108"/>
      <c r="D3" s="109" t="s">
        <v>3</v>
      </c>
      <c r="E3" s="110" t="s">
        <v>4</v>
      </c>
      <c r="F3" s="110" t="s">
        <v>5</v>
      </c>
      <c r="G3" s="111" t="s">
        <v>6</v>
      </c>
      <c r="H3" s="111" t="s">
        <v>7</v>
      </c>
      <c r="I3" s="110" t="s">
        <v>8</v>
      </c>
      <c r="J3" s="110" t="s">
        <v>9</v>
      </c>
      <c r="K3" s="112" t="s">
        <v>10</v>
      </c>
      <c r="L3" s="112" t="s">
        <v>11</v>
      </c>
      <c r="M3" s="110" t="s">
        <v>12</v>
      </c>
      <c r="N3" s="113" t="s">
        <v>13</v>
      </c>
      <c r="O3" s="109" t="s">
        <v>14</v>
      </c>
      <c r="P3" s="109" t="s">
        <v>15</v>
      </c>
      <c r="Q3" s="109" t="s">
        <v>16</v>
      </c>
      <c r="R3" s="149" t="s">
        <v>17</v>
      </c>
    </row>
    <row r="4" spans="1:18" x14ac:dyDescent="0.3">
      <c r="A4" s="20">
        <v>1</v>
      </c>
      <c r="B4" s="125" t="s">
        <v>35</v>
      </c>
      <c r="C4" s="125"/>
      <c r="D4" s="116" t="s">
        <v>19</v>
      </c>
      <c r="E4" s="126" t="s">
        <v>73</v>
      </c>
      <c r="F4" s="126" t="s">
        <v>73</v>
      </c>
      <c r="G4" s="119">
        <v>45593</v>
      </c>
      <c r="H4" s="120" t="s">
        <v>36</v>
      </c>
      <c r="I4" s="126">
        <v>9897324.25</v>
      </c>
      <c r="J4" s="118">
        <v>10986029.9175</v>
      </c>
      <c r="K4" s="192">
        <v>45666</v>
      </c>
      <c r="L4" s="193" t="s">
        <v>74</v>
      </c>
      <c r="M4" s="116" t="s">
        <v>37</v>
      </c>
      <c r="N4" s="116" t="s">
        <v>38</v>
      </c>
      <c r="O4" s="116" t="s">
        <v>39</v>
      </c>
      <c r="P4" s="116" t="s">
        <v>40</v>
      </c>
      <c r="Q4" s="116" t="s">
        <v>26</v>
      </c>
      <c r="R4" s="124"/>
    </row>
    <row r="5" spans="1:18" x14ac:dyDescent="0.3">
      <c r="A5" s="20">
        <v>2</v>
      </c>
      <c r="B5" s="125" t="s">
        <v>35</v>
      </c>
      <c r="C5" s="125"/>
      <c r="D5" s="116" t="s">
        <v>19</v>
      </c>
      <c r="E5" s="126" t="s">
        <v>73</v>
      </c>
      <c r="F5" s="126" t="s">
        <v>73</v>
      </c>
      <c r="G5" s="119">
        <v>45593</v>
      </c>
      <c r="H5" s="120" t="s">
        <v>42</v>
      </c>
      <c r="I5" s="126">
        <v>15640425</v>
      </c>
      <c r="J5" s="118">
        <v>17360871.75</v>
      </c>
      <c r="K5" s="192">
        <v>45666</v>
      </c>
      <c r="L5" s="192" t="s">
        <v>75</v>
      </c>
      <c r="M5" s="116" t="s">
        <v>43</v>
      </c>
      <c r="N5" s="116" t="s">
        <v>44</v>
      </c>
      <c r="O5" s="116" t="s">
        <v>39</v>
      </c>
      <c r="P5" s="116" t="s">
        <v>40</v>
      </c>
      <c r="Q5" s="116" t="s">
        <v>26</v>
      </c>
      <c r="R5" s="124"/>
    </row>
    <row r="6" spans="1:18" x14ac:dyDescent="0.3">
      <c r="A6" s="20">
        <v>3</v>
      </c>
      <c r="B6" s="125" t="s">
        <v>35</v>
      </c>
      <c r="C6" s="125"/>
      <c r="D6" s="116" t="s">
        <v>19</v>
      </c>
      <c r="E6" s="126" t="s">
        <v>73</v>
      </c>
      <c r="F6" s="126" t="s">
        <v>73</v>
      </c>
      <c r="G6" s="119">
        <v>45600</v>
      </c>
      <c r="H6" s="120" t="s">
        <v>45</v>
      </c>
      <c r="I6" s="126">
        <v>31840000</v>
      </c>
      <c r="J6" s="118">
        <v>35342400</v>
      </c>
      <c r="K6" s="192">
        <v>45666</v>
      </c>
      <c r="L6" s="193" t="s">
        <v>76</v>
      </c>
      <c r="M6" s="116" t="s">
        <v>46</v>
      </c>
      <c r="N6" s="116" t="s">
        <v>47</v>
      </c>
      <c r="O6" s="116" t="s">
        <v>48</v>
      </c>
      <c r="P6" s="116" t="s">
        <v>34</v>
      </c>
      <c r="Q6" s="116" t="s">
        <v>26</v>
      </c>
      <c r="R6" s="124"/>
    </row>
    <row r="7" spans="1:18" x14ac:dyDescent="0.3">
      <c r="A7" s="20">
        <v>4</v>
      </c>
      <c r="B7" s="125" t="s">
        <v>77</v>
      </c>
      <c r="C7" s="125"/>
      <c r="D7" s="116" t="s">
        <v>19</v>
      </c>
      <c r="E7" s="150">
        <v>32760000</v>
      </c>
      <c r="F7" s="151">
        <v>36363600</v>
      </c>
      <c r="G7" s="119">
        <v>45667</v>
      </c>
      <c r="H7" s="119"/>
      <c r="I7" s="121">
        <v>32760000</v>
      </c>
      <c r="J7" s="121">
        <v>36363600</v>
      </c>
      <c r="K7" s="41">
        <v>45708</v>
      </c>
      <c r="L7" s="42" t="s">
        <v>78</v>
      </c>
      <c r="M7" s="116" t="s">
        <v>53</v>
      </c>
      <c r="N7" s="116" t="s">
        <v>53</v>
      </c>
      <c r="O7" s="116" t="s">
        <v>53</v>
      </c>
      <c r="P7" s="116" t="s">
        <v>79</v>
      </c>
      <c r="Q7" s="116" t="s">
        <v>26</v>
      </c>
      <c r="R7" s="124"/>
    </row>
    <row r="8" spans="1:18" x14ac:dyDescent="0.3">
      <c r="A8" s="20">
        <v>5</v>
      </c>
      <c r="B8" s="125" t="s">
        <v>77</v>
      </c>
      <c r="C8" s="125"/>
      <c r="D8" s="116" t="s">
        <v>19</v>
      </c>
      <c r="E8" s="150">
        <v>42900000</v>
      </c>
      <c r="F8" s="151">
        <v>47619000.000000007</v>
      </c>
      <c r="G8" s="119">
        <v>45667</v>
      </c>
      <c r="H8" s="119"/>
      <c r="I8" s="121">
        <v>42900000</v>
      </c>
      <c r="J8" s="121">
        <v>47619000.000000007</v>
      </c>
      <c r="K8" s="41">
        <v>45708</v>
      </c>
      <c r="L8" s="193" t="s">
        <v>80</v>
      </c>
      <c r="M8" s="116" t="s">
        <v>53</v>
      </c>
      <c r="N8" s="116" t="s">
        <v>53</v>
      </c>
      <c r="O8" s="116" t="s">
        <v>53</v>
      </c>
      <c r="P8" s="116" t="s">
        <v>79</v>
      </c>
      <c r="Q8" s="116" t="s">
        <v>26</v>
      </c>
      <c r="R8" s="124"/>
    </row>
    <row r="9" spans="1:18" x14ac:dyDescent="0.3">
      <c r="A9" s="20">
        <v>6</v>
      </c>
      <c r="B9" s="125" t="s">
        <v>77</v>
      </c>
      <c r="C9" s="125"/>
      <c r="D9" s="116" t="s">
        <v>19</v>
      </c>
      <c r="E9" s="126">
        <v>35458000</v>
      </c>
      <c r="F9" s="118">
        <v>39358380</v>
      </c>
      <c r="G9" s="119">
        <v>45667</v>
      </c>
      <c r="H9" s="119"/>
      <c r="I9" s="121">
        <v>35458000</v>
      </c>
      <c r="J9" s="121">
        <v>39358380</v>
      </c>
      <c r="K9" s="41">
        <v>45708</v>
      </c>
      <c r="L9" s="152" t="s">
        <v>81</v>
      </c>
      <c r="M9" s="116" t="s">
        <v>53</v>
      </c>
      <c r="N9" s="116" t="s">
        <v>53</v>
      </c>
      <c r="O9" s="116" t="s">
        <v>53</v>
      </c>
      <c r="P9" s="116" t="s">
        <v>79</v>
      </c>
      <c r="Q9" s="116" t="s">
        <v>26</v>
      </c>
      <c r="R9" s="124"/>
    </row>
    <row r="10" spans="1:18" x14ac:dyDescent="0.3">
      <c r="A10" s="20">
        <v>7</v>
      </c>
      <c r="B10" s="129" t="s">
        <v>82</v>
      </c>
      <c r="C10" s="129"/>
      <c r="D10" s="128" t="s">
        <v>19</v>
      </c>
      <c r="E10" s="118">
        <v>21738375</v>
      </c>
      <c r="F10" s="118">
        <v>24129596.250000004</v>
      </c>
      <c r="G10" s="131">
        <v>45684</v>
      </c>
      <c r="H10" s="131"/>
      <c r="I10" s="121">
        <v>21738375</v>
      </c>
      <c r="J10" s="121">
        <v>24129596.250000004</v>
      </c>
      <c r="K10" s="192">
        <v>45755</v>
      </c>
      <c r="L10" s="193" t="s">
        <v>83</v>
      </c>
      <c r="M10" s="128" t="s">
        <v>53</v>
      </c>
      <c r="N10" s="128" t="s">
        <v>53</v>
      </c>
      <c r="O10" s="128" t="s">
        <v>53</v>
      </c>
      <c r="P10" s="128" t="s">
        <v>79</v>
      </c>
      <c r="Q10" s="116" t="s">
        <v>26</v>
      </c>
      <c r="R10" s="124"/>
    </row>
    <row r="11" spans="1:18" x14ac:dyDescent="0.3">
      <c r="A11" s="20">
        <v>8</v>
      </c>
      <c r="B11" s="115" t="s">
        <v>35</v>
      </c>
      <c r="C11" s="115"/>
      <c r="D11" s="116" t="s">
        <v>19</v>
      </c>
      <c r="E11" s="126">
        <v>63680000</v>
      </c>
      <c r="F11" s="118">
        <v>70684800</v>
      </c>
      <c r="G11" s="119">
        <v>45685</v>
      </c>
      <c r="H11" s="119"/>
      <c r="I11" s="153">
        <v>63680000</v>
      </c>
      <c r="J11" s="127">
        <v>70684800</v>
      </c>
      <c r="K11" s="192">
        <v>45812</v>
      </c>
      <c r="L11" s="193" t="s">
        <v>84</v>
      </c>
      <c r="M11" s="116" t="s">
        <v>85</v>
      </c>
      <c r="N11" s="154" t="s">
        <v>86</v>
      </c>
      <c r="O11" s="116" t="s">
        <v>48</v>
      </c>
      <c r="P11" s="116" t="s">
        <v>87</v>
      </c>
      <c r="Q11" s="116" t="s">
        <v>26</v>
      </c>
      <c r="R11" s="124">
        <v>45762</v>
      </c>
    </row>
    <row r="12" spans="1:18" x14ac:dyDescent="0.3">
      <c r="A12" s="20">
        <v>9</v>
      </c>
      <c r="B12" s="125" t="s">
        <v>82</v>
      </c>
      <c r="C12" s="125"/>
      <c r="D12" s="116" t="s">
        <v>19</v>
      </c>
      <c r="E12" s="126">
        <v>15905500</v>
      </c>
      <c r="F12" s="118">
        <v>17655105</v>
      </c>
      <c r="G12" s="119">
        <v>45701</v>
      </c>
      <c r="H12" s="119"/>
      <c r="I12" s="155">
        <v>15905500</v>
      </c>
      <c r="J12" s="156">
        <v>17655105</v>
      </c>
      <c r="K12" s="116"/>
      <c r="L12" s="116"/>
      <c r="M12" s="128" t="s">
        <v>53</v>
      </c>
      <c r="N12" s="128" t="s">
        <v>53</v>
      </c>
      <c r="O12" s="128" t="s">
        <v>53</v>
      </c>
      <c r="P12" s="128" t="s">
        <v>53</v>
      </c>
      <c r="Q12" s="116" t="s">
        <v>41</v>
      </c>
      <c r="R12" s="124"/>
    </row>
    <row r="13" spans="1:18" x14ac:dyDescent="0.3">
      <c r="A13" s="20">
        <v>10</v>
      </c>
      <c r="B13" s="115" t="s">
        <v>88</v>
      </c>
      <c r="C13" s="115"/>
      <c r="D13" s="116" t="s">
        <v>19</v>
      </c>
      <c r="E13" s="126">
        <v>37631444</v>
      </c>
      <c r="F13" s="118">
        <v>41770902.840000004</v>
      </c>
      <c r="G13" s="119">
        <v>45709</v>
      </c>
      <c r="H13" s="119"/>
      <c r="I13" s="127">
        <v>37631444</v>
      </c>
      <c r="J13" s="127">
        <v>41770902.840000004</v>
      </c>
      <c r="K13" s="41">
        <v>45723</v>
      </c>
      <c r="L13" s="42" t="s">
        <v>89</v>
      </c>
      <c r="M13" s="116" t="s">
        <v>90</v>
      </c>
      <c r="N13" s="154" t="s">
        <v>91</v>
      </c>
      <c r="O13" s="116" t="s">
        <v>92</v>
      </c>
      <c r="P13" s="116" t="s">
        <v>93</v>
      </c>
      <c r="Q13" s="116" t="s">
        <v>26</v>
      </c>
      <c r="R13" s="124">
        <v>45719</v>
      </c>
    </row>
    <row r="14" spans="1:18" x14ac:dyDescent="0.3">
      <c r="A14" s="20">
        <v>11</v>
      </c>
      <c r="B14" s="115" t="s">
        <v>94</v>
      </c>
      <c r="C14" s="115"/>
      <c r="D14" s="116" t="s">
        <v>19</v>
      </c>
      <c r="E14" s="126">
        <v>998000000</v>
      </c>
      <c r="F14" s="118">
        <v>1107780000</v>
      </c>
      <c r="G14" s="119">
        <v>45705</v>
      </c>
      <c r="H14" s="119"/>
      <c r="I14" s="156">
        <v>998000000</v>
      </c>
      <c r="J14" s="156">
        <v>1107780000</v>
      </c>
      <c r="K14" s="116"/>
      <c r="L14" s="116"/>
      <c r="M14" s="116" t="s">
        <v>53</v>
      </c>
      <c r="N14" s="154" t="s">
        <v>95</v>
      </c>
      <c r="O14" s="116" t="s">
        <v>96</v>
      </c>
      <c r="P14" s="116" t="s">
        <v>79</v>
      </c>
      <c r="Q14" s="116" t="s">
        <v>41</v>
      </c>
      <c r="R14" s="124">
        <v>45720</v>
      </c>
    </row>
    <row r="15" spans="1:18" x14ac:dyDescent="0.3">
      <c r="A15" s="20">
        <v>12</v>
      </c>
      <c r="B15" s="125" t="s">
        <v>82</v>
      </c>
      <c r="C15" s="125"/>
      <c r="D15" s="116" t="s">
        <v>19</v>
      </c>
      <c r="E15" s="126">
        <v>10686000</v>
      </c>
      <c r="F15" s="118">
        <v>11861460.000000002</v>
      </c>
      <c r="G15" s="133">
        <v>45716</v>
      </c>
      <c r="H15" s="133"/>
      <c r="I15" s="156">
        <v>10686000</v>
      </c>
      <c r="J15" s="156">
        <v>11861460.000000002</v>
      </c>
      <c r="K15" s="116"/>
      <c r="L15" s="116"/>
      <c r="M15" s="128" t="s">
        <v>53</v>
      </c>
      <c r="N15" s="128" t="s">
        <v>53</v>
      </c>
      <c r="O15" s="128" t="s">
        <v>53</v>
      </c>
      <c r="P15" s="128" t="s">
        <v>53</v>
      </c>
      <c r="Q15" s="116" t="s">
        <v>41</v>
      </c>
      <c r="R15" s="124"/>
    </row>
    <row r="16" spans="1:18" x14ac:dyDescent="0.3">
      <c r="A16" s="20">
        <v>13</v>
      </c>
      <c r="B16" s="125" t="s">
        <v>82</v>
      </c>
      <c r="C16" s="125"/>
      <c r="D16" s="116" t="s">
        <v>19</v>
      </c>
      <c r="E16" s="126">
        <v>13837200</v>
      </c>
      <c r="F16" s="118">
        <v>15359292.000000002</v>
      </c>
      <c r="G16" s="133">
        <v>45716</v>
      </c>
      <c r="H16" s="133"/>
      <c r="I16" s="156">
        <v>13837200</v>
      </c>
      <c r="J16" s="156">
        <v>15359292.000000002</v>
      </c>
      <c r="K16" s="116"/>
      <c r="L16" s="116"/>
      <c r="M16" s="128" t="s">
        <v>53</v>
      </c>
      <c r="N16" s="128" t="s">
        <v>53</v>
      </c>
      <c r="O16" s="128" t="s">
        <v>53</v>
      </c>
      <c r="P16" s="128" t="s">
        <v>53</v>
      </c>
      <c r="Q16" s="116" t="s">
        <v>41</v>
      </c>
      <c r="R16" s="124"/>
    </row>
    <row r="17" spans="1:18" x14ac:dyDescent="0.3">
      <c r="A17" s="20">
        <v>14</v>
      </c>
      <c r="B17" s="134" t="s">
        <v>88</v>
      </c>
      <c r="C17" s="134"/>
      <c r="D17" s="135" t="s">
        <v>19</v>
      </c>
      <c r="E17" s="136">
        <v>11564500</v>
      </c>
      <c r="F17" s="157">
        <v>12836595.000000002</v>
      </c>
      <c r="G17" s="133">
        <v>45720</v>
      </c>
      <c r="H17" s="133"/>
      <c r="I17" s="127">
        <v>11564500</v>
      </c>
      <c r="J17" s="127">
        <v>12836595.000000002</v>
      </c>
      <c r="K17" s="192">
        <v>45737</v>
      </c>
      <c r="L17" s="193" t="s">
        <v>97</v>
      </c>
      <c r="M17" s="116" t="s">
        <v>98</v>
      </c>
      <c r="N17" s="154" t="s">
        <v>99</v>
      </c>
      <c r="O17" s="116" t="s">
        <v>92</v>
      </c>
      <c r="P17" s="116" t="s">
        <v>93</v>
      </c>
      <c r="Q17" s="116" t="s">
        <v>26</v>
      </c>
      <c r="R17" s="124">
        <v>45733</v>
      </c>
    </row>
    <row r="18" spans="1:18" x14ac:dyDescent="0.3">
      <c r="A18" s="20">
        <v>15</v>
      </c>
      <c r="B18" s="125" t="s">
        <v>100</v>
      </c>
      <c r="C18" s="125"/>
      <c r="D18" s="116" t="s">
        <v>19</v>
      </c>
      <c r="E18" s="126">
        <v>45000000</v>
      </c>
      <c r="F18" s="118">
        <v>49950000.000000007</v>
      </c>
      <c r="G18" s="133">
        <v>45723</v>
      </c>
      <c r="H18" s="133"/>
      <c r="I18" s="155">
        <v>45000000</v>
      </c>
      <c r="J18" s="156">
        <v>49950000.000000007</v>
      </c>
      <c r="K18" s="116"/>
      <c r="L18" s="116"/>
      <c r="M18" s="128" t="s">
        <v>53</v>
      </c>
      <c r="N18" s="128" t="s">
        <v>53</v>
      </c>
      <c r="O18" s="128" t="s">
        <v>53</v>
      </c>
      <c r="P18" s="128" t="s">
        <v>53</v>
      </c>
      <c r="Q18" s="116" t="s">
        <v>41</v>
      </c>
      <c r="R18" s="124"/>
    </row>
    <row r="19" spans="1:18" x14ac:dyDescent="0.3">
      <c r="A19" s="20">
        <v>16</v>
      </c>
      <c r="B19" s="125" t="s">
        <v>101</v>
      </c>
      <c r="C19" s="125"/>
      <c r="D19" s="116" t="s">
        <v>19</v>
      </c>
      <c r="E19" s="126">
        <v>1410000</v>
      </c>
      <c r="F19" s="118">
        <v>1565100.0000000002</v>
      </c>
      <c r="G19" s="119">
        <v>45740</v>
      </c>
      <c r="H19" s="119"/>
      <c r="I19" s="156">
        <v>1410000</v>
      </c>
      <c r="J19" s="156">
        <v>1565100.0000000002</v>
      </c>
      <c r="K19" s="116"/>
      <c r="L19" s="116"/>
      <c r="M19" s="128" t="s">
        <v>53</v>
      </c>
      <c r="N19" s="128" t="s">
        <v>53</v>
      </c>
      <c r="O19" s="128" t="s">
        <v>53</v>
      </c>
      <c r="P19" s="128" t="s">
        <v>53</v>
      </c>
      <c r="Q19" s="116" t="s">
        <v>41</v>
      </c>
      <c r="R19" s="124"/>
    </row>
    <row r="20" spans="1:18" x14ac:dyDescent="0.3">
      <c r="A20" s="20">
        <v>17</v>
      </c>
      <c r="B20" s="125" t="s">
        <v>101</v>
      </c>
      <c r="C20" s="125"/>
      <c r="D20" s="116" t="s">
        <v>19</v>
      </c>
      <c r="E20" s="126">
        <v>41750000</v>
      </c>
      <c r="F20" s="118">
        <v>46342500.000000007</v>
      </c>
      <c r="G20" s="119">
        <v>45757</v>
      </c>
      <c r="H20" s="119"/>
      <c r="I20" s="156">
        <v>41750000</v>
      </c>
      <c r="J20" s="156">
        <v>46342500.000000007</v>
      </c>
      <c r="K20" s="116"/>
      <c r="L20" s="116"/>
      <c r="M20" s="128" t="s">
        <v>53</v>
      </c>
      <c r="N20" s="128" t="s">
        <v>53</v>
      </c>
      <c r="O20" s="128" t="s">
        <v>53</v>
      </c>
      <c r="P20" s="128" t="s">
        <v>53</v>
      </c>
      <c r="Q20" s="116" t="s">
        <v>41</v>
      </c>
      <c r="R20" s="124"/>
    </row>
    <row r="21" spans="1:18" x14ac:dyDescent="0.3">
      <c r="A21" s="20">
        <v>18</v>
      </c>
      <c r="B21" s="125" t="s">
        <v>102</v>
      </c>
      <c r="C21" s="125"/>
      <c r="D21" s="116" t="s">
        <v>19</v>
      </c>
      <c r="E21" s="126">
        <v>211000000</v>
      </c>
      <c r="F21" s="126">
        <v>234210000.00000003</v>
      </c>
      <c r="G21" s="119">
        <v>45762</v>
      </c>
      <c r="H21" s="119"/>
      <c r="I21" s="156">
        <v>211000000</v>
      </c>
      <c r="J21" s="156">
        <v>234210000.00000003</v>
      </c>
      <c r="K21" s="116"/>
      <c r="L21" s="116"/>
      <c r="M21" s="116" t="s">
        <v>103</v>
      </c>
      <c r="N21" s="154" t="s">
        <v>104</v>
      </c>
      <c r="O21" s="116" t="s">
        <v>105</v>
      </c>
      <c r="P21" s="116" t="s">
        <v>25</v>
      </c>
      <c r="Q21" s="116" t="s">
        <v>41</v>
      </c>
      <c r="R21" s="124">
        <v>45852</v>
      </c>
    </row>
    <row r="22" spans="1:18" x14ac:dyDescent="0.3">
      <c r="A22" s="20">
        <v>19</v>
      </c>
      <c r="B22" s="125" t="s">
        <v>102</v>
      </c>
      <c r="C22" s="125"/>
      <c r="D22" s="116" t="s">
        <v>19</v>
      </c>
      <c r="E22" s="126">
        <v>229000000</v>
      </c>
      <c r="F22" s="126">
        <v>254190000.00000003</v>
      </c>
      <c r="G22" s="119">
        <v>45762</v>
      </c>
      <c r="H22" s="119"/>
      <c r="I22" s="156">
        <v>229000000</v>
      </c>
      <c r="J22" s="156">
        <v>254190000.00000003</v>
      </c>
      <c r="K22" s="116"/>
      <c r="L22" s="116"/>
      <c r="M22" s="116" t="s">
        <v>106</v>
      </c>
      <c r="N22" s="154" t="s">
        <v>107</v>
      </c>
      <c r="O22" s="116" t="s">
        <v>105</v>
      </c>
      <c r="P22" s="116" t="s">
        <v>25</v>
      </c>
      <c r="Q22" s="116" t="s">
        <v>41</v>
      </c>
      <c r="R22" s="124">
        <v>45855</v>
      </c>
    </row>
    <row r="23" spans="1:18" x14ac:dyDescent="0.3">
      <c r="A23" s="20">
        <v>20</v>
      </c>
      <c r="B23" s="140" t="s">
        <v>108</v>
      </c>
      <c r="C23" s="140"/>
      <c r="D23" s="116" t="s">
        <v>19</v>
      </c>
      <c r="E23" s="126">
        <v>70468000</v>
      </c>
      <c r="F23" s="118">
        <v>78219480</v>
      </c>
      <c r="G23" s="119">
        <v>45763</v>
      </c>
      <c r="H23" s="119"/>
      <c r="I23" s="156">
        <v>70468000</v>
      </c>
      <c r="J23" s="156">
        <v>78219480</v>
      </c>
      <c r="K23" s="116"/>
      <c r="L23" s="116"/>
      <c r="M23" s="116" t="s">
        <v>109</v>
      </c>
      <c r="N23" s="154" t="s">
        <v>110</v>
      </c>
      <c r="O23" s="116" t="s">
        <v>92</v>
      </c>
      <c r="P23" s="116" t="s">
        <v>93</v>
      </c>
      <c r="Q23" s="116" t="s">
        <v>41</v>
      </c>
      <c r="R23" s="124">
        <v>45832</v>
      </c>
    </row>
    <row r="24" spans="1:18" x14ac:dyDescent="0.3">
      <c r="A24" s="20">
        <v>21</v>
      </c>
      <c r="B24" s="125" t="s">
        <v>101</v>
      </c>
      <c r="C24" s="125"/>
      <c r="D24" s="116" t="s">
        <v>19</v>
      </c>
      <c r="E24" s="126">
        <v>6850400</v>
      </c>
      <c r="F24" s="126">
        <v>7603944.0000000009</v>
      </c>
      <c r="G24" s="119">
        <v>45783</v>
      </c>
      <c r="H24" s="119"/>
      <c r="I24" s="156">
        <v>6850400</v>
      </c>
      <c r="J24" s="156">
        <v>7603944.0000000009</v>
      </c>
      <c r="K24" s="116"/>
      <c r="L24" s="116"/>
      <c r="M24" s="128" t="s">
        <v>53</v>
      </c>
      <c r="N24" s="128" t="s">
        <v>53</v>
      </c>
      <c r="O24" s="128" t="s">
        <v>53</v>
      </c>
      <c r="P24" s="128" t="s">
        <v>53</v>
      </c>
      <c r="Q24" s="116" t="s">
        <v>41</v>
      </c>
      <c r="R24" s="124"/>
    </row>
    <row r="25" spans="1:18" x14ac:dyDescent="0.3">
      <c r="A25" s="20">
        <v>22</v>
      </c>
      <c r="B25" s="125" t="s">
        <v>101</v>
      </c>
      <c r="C25" s="125"/>
      <c r="D25" s="116" t="s">
        <v>19</v>
      </c>
      <c r="E25" s="126">
        <v>44000000</v>
      </c>
      <c r="F25" s="126">
        <v>48840000.000000007</v>
      </c>
      <c r="G25" s="119">
        <v>45804</v>
      </c>
      <c r="H25" s="119"/>
      <c r="I25" s="156">
        <v>44000000</v>
      </c>
      <c r="J25" s="156">
        <v>48840000.000000007</v>
      </c>
      <c r="K25" s="116"/>
      <c r="L25" s="116"/>
      <c r="M25" s="128" t="s">
        <v>53</v>
      </c>
      <c r="N25" s="128" t="s">
        <v>53</v>
      </c>
      <c r="O25" s="128" t="s">
        <v>53</v>
      </c>
      <c r="P25" s="128" t="s">
        <v>53</v>
      </c>
      <c r="Q25" s="116" t="s">
        <v>41</v>
      </c>
      <c r="R25" s="124"/>
    </row>
    <row r="26" spans="1:18" x14ac:dyDescent="0.3">
      <c r="B26" s="6" t="s">
        <v>111</v>
      </c>
      <c r="C26" s="6"/>
      <c r="E26" s="18">
        <f>SUM(E4:E25)</f>
        <v>1933639419</v>
      </c>
    </row>
    <row r="27" spans="1:18" x14ac:dyDescent="0.3">
      <c r="B27" s="6" t="s">
        <v>112</v>
      </c>
      <c r="C27" s="6"/>
      <c r="E27" s="18">
        <f>I38</f>
        <v>1687907100</v>
      </c>
    </row>
    <row r="28" spans="1:18" x14ac:dyDescent="0.3">
      <c r="J28" s="43"/>
    </row>
    <row r="29" spans="1:18" x14ac:dyDescent="0.3">
      <c r="J29" s="43"/>
    </row>
    <row r="34" spans="4:18" x14ac:dyDescent="0.3">
      <c r="G34" s="6"/>
      <c r="H34" s="6"/>
      <c r="J34" s="7"/>
      <c r="R34" s="6"/>
    </row>
    <row r="35" spans="4:18" x14ac:dyDescent="0.3">
      <c r="G35" s="6"/>
      <c r="H35" s="6"/>
      <c r="J35" s="7"/>
      <c r="R35" s="6"/>
    </row>
    <row r="36" spans="4:18" ht="55.2" x14ac:dyDescent="0.3">
      <c r="D36" s="141" t="s">
        <v>113</v>
      </c>
      <c r="E36" s="141" t="s">
        <v>4</v>
      </c>
      <c r="F36" s="141" t="s">
        <v>5</v>
      </c>
      <c r="G36" s="6"/>
      <c r="H36" s="142" t="s">
        <v>63</v>
      </c>
      <c r="I36" s="142" t="s">
        <v>64</v>
      </c>
      <c r="J36" s="142" t="s">
        <v>65</v>
      </c>
      <c r="R36" s="6"/>
    </row>
    <row r="37" spans="4:18" x14ac:dyDescent="0.3">
      <c r="D37" s="143" t="s">
        <v>114</v>
      </c>
      <c r="E37" s="121">
        <v>196536375</v>
      </c>
      <c r="F37" s="121">
        <v>218155376.25</v>
      </c>
      <c r="G37" s="6"/>
      <c r="H37" s="144" t="s">
        <v>26</v>
      </c>
      <c r="I37" s="145">
        <v>303110068.25</v>
      </c>
      <c r="J37" s="145">
        <v>336452175.75750005</v>
      </c>
      <c r="R37" s="6"/>
    </row>
    <row r="38" spans="4:18" x14ac:dyDescent="0.3">
      <c r="D38" s="143" t="s">
        <v>115</v>
      </c>
      <c r="E38" s="121">
        <v>1076060144</v>
      </c>
      <c r="F38" s="121">
        <v>1194426759.8399999</v>
      </c>
      <c r="G38" s="6"/>
      <c r="H38" s="146" t="s">
        <v>41</v>
      </c>
      <c r="I38" s="147">
        <v>1687907100</v>
      </c>
      <c r="J38" s="147">
        <v>1873576881</v>
      </c>
      <c r="R38" s="6"/>
    </row>
    <row r="39" spans="4:18" x14ac:dyDescent="0.3">
      <c r="D39" s="143" t="s">
        <v>116</v>
      </c>
      <c r="E39" s="121">
        <v>57974500</v>
      </c>
      <c r="F39" s="121">
        <v>64351695.000000007</v>
      </c>
      <c r="G39" s="6"/>
      <c r="H39" s="9" t="s">
        <v>71</v>
      </c>
      <c r="I39" s="11">
        <v>1991017168.25</v>
      </c>
      <c r="J39" s="10">
        <v>2210029056.7575002</v>
      </c>
      <c r="R39" s="6"/>
    </row>
    <row r="40" spans="4:18" x14ac:dyDescent="0.3">
      <c r="D40" s="143" t="s">
        <v>117</v>
      </c>
      <c r="E40" s="121">
        <v>552218000</v>
      </c>
      <c r="F40" s="121">
        <v>612961980.00000012</v>
      </c>
      <c r="G40" s="6"/>
      <c r="R40" s="6"/>
    </row>
    <row r="41" spans="4:18" x14ac:dyDescent="0.3">
      <c r="D41" s="143" t="s">
        <v>118</v>
      </c>
      <c r="E41" s="121">
        <v>50850400</v>
      </c>
      <c r="F41" s="121">
        <v>56443944.000000007</v>
      </c>
      <c r="G41" s="6"/>
      <c r="R41" s="6"/>
    </row>
    <row r="42" spans="4:18" x14ac:dyDescent="0.3">
      <c r="D42" s="143" t="s">
        <v>119</v>
      </c>
      <c r="E42" s="125"/>
      <c r="F42" s="125"/>
      <c r="G42" s="6"/>
      <c r="R42" s="6"/>
    </row>
    <row r="43" spans="4:18" x14ac:dyDescent="0.3">
      <c r="D43" s="143" t="s">
        <v>120</v>
      </c>
      <c r="E43" s="125"/>
      <c r="F43" s="125"/>
    </row>
    <row r="44" spans="4:18" x14ac:dyDescent="0.3">
      <c r="D44" s="143" t="s">
        <v>121</v>
      </c>
      <c r="E44" s="125"/>
      <c r="F44" s="125"/>
    </row>
    <row r="45" spans="4:18" x14ac:dyDescent="0.3">
      <c r="D45" s="143" t="s">
        <v>122</v>
      </c>
      <c r="E45" s="125"/>
      <c r="F45" s="125"/>
    </row>
    <row r="46" spans="4:18" x14ac:dyDescent="0.3">
      <c r="D46" s="143" t="s">
        <v>66</v>
      </c>
      <c r="E46" s="125"/>
      <c r="F46" s="125"/>
    </row>
    <row r="47" spans="4:18" x14ac:dyDescent="0.3">
      <c r="D47" s="143" t="s">
        <v>67</v>
      </c>
      <c r="E47" s="125"/>
      <c r="F47" s="125"/>
    </row>
    <row r="48" spans="4:18" x14ac:dyDescent="0.3">
      <c r="D48" s="143" t="s">
        <v>68</v>
      </c>
      <c r="E48" s="125"/>
      <c r="F48" s="125"/>
    </row>
    <row r="49" spans="4:6" x14ac:dyDescent="0.3">
      <c r="D49" s="148" t="s">
        <v>70</v>
      </c>
      <c r="E49" s="121">
        <v>1933639419</v>
      </c>
      <c r="F49" s="121">
        <v>2146339755.0900002</v>
      </c>
    </row>
    <row r="52" spans="4:6" x14ac:dyDescent="0.3">
      <c r="D52" s="148" t="s">
        <v>72</v>
      </c>
      <c r="E52" s="121">
        <v>154691.15352000002</v>
      </c>
      <c r="F52" s="121">
        <v>171707.18040720004</v>
      </c>
    </row>
  </sheetData>
  <conditionalFormatting sqref="Q1:Q47 Q65:Q1048576">
    <cfRule type="containsText" dxfId="24" priority="1" operator="containsText" text="Open">
      <formula>NOT(ISERROR(SEARCH("Open",Q1)))</formula>
    </cfRule>
    <cfRule type="containsText" dxfId="23" priority="2" operator="containsText" text="Closed (Billed)">
      <formula>NOT(ISERROR(SEARCH("Closed (Billed)",Q1)))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FF8802-65D4-4E7D-A3C8-50378CABE52A}">
          <x14:formula1>
            <xm:f>'Sales-MTD'!$A$2:$A$4</xm:f>
          </x14:formula1>
          <xm:sqref>C1:C53 C63:C1048576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3281C-54DC-4E14-B7D6-1348A31270F0}">
  <dimension ref="A1:P52"/>
  <sheetViews>
    <sheetView topLeftCell="A3" zoomScale="64" workbookViewId="0">
      <pane xSplit="1" topLeftCell="J1" activePane="topRight" state="frozen"/>
      <selection pane="topRight" activeCell="L39" sqref="L39"/>
    </sheetView>
  </sheetViews>
  <sheetFormatPr defaultColWidth="8.6640625" defaultRowHeight="13.8" x14ac:dyDescent="0.3"/>
  <cols>
    <col min="1" max="1" width="33.44140625" style="6" bestFit="1" customWidth="1"/>
    <col min="2" max="2" width="14.6640625" style="6" bestFit="1" customWidth="1"/>
    <col min="3" max="4" width="16.6640625" style="6" bestFit="1" customWidth="1"/>
    <col min="5" max="5" width="10.6640625" style="6" bestFit="1" customWidth="1"/>
    <col min="6" max="6" width="18.44140625" style="6" bestFit="1" customWidth="1"/>
    <col min="7" max="7" width="39.33203125" style="6" customWidth="1"/>
    <col min="8" max="8" width="35.6640625" style="6" customWidth="1"/>
    <col min="9" max="9" width="10.5546875" style="6" bestFit="1" customWidth="1"/>
    <col min="10" max="10" width="15.44140625" style="6" bestFit="1" customWidth="1"/>
    <col min="11" max="11" width="10.6640625" style="6" customWidth="1"/>
    <col min="12" max="12" width="17.33203125" style="6" bestFit="1" customWidth="1"/>
    <col min="13" max="13" width="16.6640625" style="6" bestFit="1" customWidth="1"/>
    <col min="14" max="14" width="10.109375" style="6" bestFit="1" customWidth="1"/>
    <col min="15" max="15" width="12.109375" style="6" bestFit="1" customWidth="1"/>
    <col min="16" max="16" width="8.88671875" style="6" bestFit="1" customWidth="1"/>
    <col min="17" max="16384" width="8.6640625" style="6"/>
  </cols>
  <sheetData>
    <row r="1" spans="1:16" x14ac:dyDescent="0.3">
      <c r="A1" s="107" t="s">
        <v>0</v>
      </c>
    </row>
    <row r="2" spans="1:16" x14ac:dyDescent="0.3">
      <c r="A2" s="8" t="s">
        <v>1</v>
      </c>
    </row>
    <row r="3" spans="1:16" ht="55.2" x14ac:dyDescent="0.3">
      <c r="A3" s="108" t="s">
        <v>2</v>
      </c>
      <c r="B3" s="109" t="s">
        <v>3</v>
      </c>
      <c r="C3" s="110" t="s">
        <v>4</v>
      </c>
      <c r="D3" s="110" t="s">
        <v>5</v>
      </c>
      <c r="E3" s="111" t="s">
        <v>6</v>
      </c>
      <c r="F3" s="111" t="s">
        <v>7</v>
      </c>
      <c r="G3" s="110" t="s">
        <v>8</v>
      </c>
      <c r="H3" s="110" t="s">
        <v>9</v>
      </c>
      <c r="I3" s="112" t="s">
        <v>10</v>
      </c>
      <c r="J3" s="112" t="s">
        <v>11</v>
      </c>
      <c r="K3" s="110" t="s">
        <v>12</v>
      </c>
      <c r="L3" s="113" t="s">
        <v>13</v>
      </c>
      <c r="M3" s="109" t="s">
        <v>14</v>
      </c>
      <c r="N3" s="109" t="s">
        <v>15</v>
      </c>
      <c r="O3" s="109" t="s">
        <v>16</v>
      </c>
      <c r="P3" s="149" t="s">
        <v>17</v>
      </c>
    </row>
    <row r="4" spans="1:16" x14ac:dyDescent="0.3">
      <c r="A4" s="125" t="s">
        <v>35</v>
      </c>
      <c r="B4" s="116" t="s">
        <v>19</v>
      </c>
      <c r="C4" s="126">
        <v>9897324.25</v>
      </c>
      <c r="D4" s="118">
        <v>10986029.9175</v>
      </c>
      <c r="E4" s="119">
        <v>45593</v>
      </c>
      <c r="F4" s="120" t="s">
        <v>36</v>
      </c>
      <c r="G4" s="126">
        <f t="shared" ref="G4:G25" si="0">IF($O4 = "Closed (Billed)", $C4, "")</f>
        <v>9897324.25</v>
      </c>
      <c r="H4" s="118">
        <f t="shared" ref="H4:H25" si="1">IF($O4 = "Closed (Billed)", $D4, " ")</f>
        <v>10986029.9175</v>
      </c>
      <c r="I4" s="192">
        <v>45666</v>
      </c>
      <c r="J4" s="193" t="s">
        <v>74</v>
      </c>
      <c r="K4" s="116" t="s">
        <v>37</v>
      </c>
      <c r="L4" s="116" t="s">
        <v>38</v>
      </c>
      <c r="M4" s="116" t="s">
        <v>39</v>
      </c>
      <c r="N4" s="116" t="s">
        <v>40</v>
      </c>
      <c r="O4" s="116" t="s">
        <v>26</v>
      </c>
      <c r="P4" s="124"/>
    </row>
    <row r="5" spans="1:16" x14ac:dyDescent="0.3">
      <c r="A5" s="125" t="s">
        <v>35</v>
      </c>
      <c r="B5" s="116" t="s">
        <v>19</v>
      </c>
      <c r="C5" s="126">
        <v>15640425</v>
      </c>
      <c r="D5" s="118">
        <v>17360871.75</v>
      </c>
      <c r="E5" s="119">
        <v>45593</v>
      </c>
      <c r="F5" s="120" t="s">
        <v>42</v>
      </c>
      <c r="G5" s="126">
        <f t="shared" si="0"/>
        <v>15640425</v>
      </c>
      <c r="H5" s="118">
        <f t="shared" si="1"/>
        <v>17360871.75</v>
      </c>
      <c r="I5" s="192">
        <v>45666</v>
      </c>
      <c r="J5" s="192" t="s">
        <v>75</v>
      </c>
      <c r="K5" s="116" t="s">
        <v>43</v>
      </c>
      <c r="L5" s="116" t="s">
        <v>44</v>
      </c>
      <c r="M5" s="116" t="s">
        <v>39</v>
      </c>
      <c r="N5" s="116" t="s">
        <v>40</v>
      </c>
      <c r="O5" s="116" t="s">
        <v>26</v>
      </c>
      <c r="P5" s="124"/>
    </row>
    <row r="6" spans="1:16" x14ac:dyDescent="0.3">
      <c r="A6" s="125" t="s">
        <v>35</v>
      </c>
      <c r="B6" s="116" t="s">
        <v>19</v>
      </c>
      <c r="C6" s="126">
        <v>31840000</v>
      </c>
      <c r="D6" s="118">
        <v>35342400</v>
      </c>
      <c r="E6" s="119">
        <v>45600</v>
      </c>
      <c r="F6" s="120" t="s">
        <v>45</v>
      </c>
      <c r="G6" s="126">
        <f t="shared" si="0"/>
        <v>31840000</v>
      </c>
      <c r="H6" s="118">
        <f t="shared" si="1"/>
        <v>35342400</v>
      </c>
      <c r="I6" s="192">
        <v>45666</v>
      </c>
      <c r="J6" s="193" t="s">
        <v>76</v>
      </c>
      <c r="K6" s="116" t="s">
        <v>46</v>
      </c>
      <c r="L6" s="116" t="s">
        <v>47</v>
      </c>
      <c r="M6" s="116" t="s">
        <v>48</v>
      </c>
      <c r="N6" s="116" t="s">
        <v>34</v>
      </c>
      <c r="O6" s="116" t="s">
        <v>26</v>
      </c>
      <c r="P6" s="124"/>
    </row>
    <row r="7" spans="1:16" x14ac:dyDescent="0.3">
      <c r="A7" s="125" t="s">
        <v>77</v>
      </c>
      <c r="B7" s="116" t="s">
        <v>19</v>
      </c>
      <c r="C7" s="150">
        <v>32760000</v>
      </c>
      <c r="D7" s="151">
        <v>36363600</v>
      </c>
      <c r="E7" s="119">
        <v>45667</v>
      </c>
      <c r="F7" s="119"/>
      <c r="G7" s="126">
        <f t="shared" si="0"/>
        <v>32760000</v>
      </c>
      <c r="H7" s="118">
        <f t="shared" si="1"/>
        <v>36363600</v>
      </c>
      <c r="I7" s="41">
        <v>45708</v>
      </c>
      <c r="J7" s="42" t="s">
        <v>78</v>
      </c>
      <c r="K7" s="116" t="s">
        <v>53</v>
      </c>
      <c r="L7" s="116" t="s">
        <v>123</v>
      </c>
      <c r="M7" s="116" t="s">
        <v>124</v>
      </c>
      <c r="N7" s="116" t="s">
        <v>79</v>
      </c>
      <c r="O7" s="116" t="s">
        <v>26</v>
      </c>
      <c r="P7" s="124"/>
    </row>
    <row r="8" spans="1:16" x14ac:dyDescent="0.3">
      <c r="A8" s="125" t="s">
        <v>77</v>
      </c>
      <c r="B8" s="116" t="s">
        <v>19</v>
      </c>
      <c r="C8" s="150">
        <v>42900000</v>
      </c>
      <c r="D8" s="151">
        <v>47619000.000000007</v>
      </c>
      <c r="E8" s="119">
        <v>45667</v>
      </c>
      <c r="F8" s="119"/>
      <c r="G8" s="126">
        <f t="shared" si="0"/>
        <v>42900000</v>
      </c>
      <c r="H8" s="118">
        <f t="shared" si="1"/>
        <v>47619000.000000007</v>
      </c>
      <c r="I8" s="41">
        <v>45708</v>
      </c>
      <c r="J8" s="193" t="s">
        <v>80</v>
      </c>
      <c r="K8" s="116" t="s">
        <v>53</v>
      </c>
      <c r="L8" s="116" t="s">
        <v>125</v>
      </c>
      <c r="M8" s="116" t="s">
        <v>124</v>
      </c>
      <c r="N8" s="116" t="s">
        <v>79</v>
      </c>
      <c r="O8" s="116" t="s">
        <v>26</v>
      </c>
      <c r="P8" s="124"/>
    </row>
    <row r="9" spans="1:16" x14ac:dyDescent="0.3">
      <c r="A9" s="125" t="s">
        <v>77</v>
      </c>
      <c r="B9" s="116" t="s">
        <v>19</v>
      </c>
      <c r="C9" s="126">
        <v>35458000</v>
      </c>
      <c r="D9" s="118">
        <v>39358380</v>
      </c>
      <c r="E9" s="119">
        <v>45667</v>
      </c>
      <c r="F9" s="119"/>
      <c r="G9" s="126">
        <f t="shared" si="0"/>
        <v>35458000</v>
      </c>
      <c r="H9" s="118">
        <f t="shared" si="1"/>
        <v>39358380</v>
      </c>
      <c r="I9" s="41">
        <v>45708</v>
      </c>
      <c r="J9" s="152" t="s">
        <v>81</v>
      </c>
      <c r="K9" s="116" t="s">
        <v>53</v>
      </c>
      <c r="L9" s="116" t="s">
        <v>126</v>
      </c>
      <c r="M9" s="116" t="s">
        <v>124</v>
      </c>
      <c r="N9" s="116" t="s">
        <v>79</v>
      </c>
      <c r="O9" s="116" t="s">
        <v>26</v>
      </c>
      <c r="P9" s="124"/>
    </row>
    <row r="10" spans="1:16" x14ac:dyDescent="0.3">
      <c r="A10" s="129" t="s">
        <v>82</v>
      </c>
      <c r="B10" s="128" t="s">
        <v>19</v>
      </c>
      <c r="C10" s="118">
        <v>21738375</v>
      </c>
      <c r="D10" s="118">
        <v>24129596.250000004</v>
      </c>
      <c r="E10" s="131">
        <v>45684</v>
      </c>
      <c r="F10" s="131"/>
      <c r="G10" s="126">
        <f t="shared" si="0"/>
        <v>21738375</v>
      </c>
      <c r="H10" s="118">
        <f t="shared" si="1"/>
        <v>24129596.250000004</v>
      </c>
      <c r="I10" s="192">
        <v>45755</v>
      </c>
      <c r="J10" s="193" t="s">
        <v>83</v>
      </c>
      <c r="K10" s="128" t="s">
        <v>53</v>
      </c>
      <c r="L10" s="128" t="s">
        <v>127</v>
      </c>
      <c r="M10" s="128" t="s">
        <v>128</v>
      </c>
      <c r="N10" s="128" t="s">
        <v>79</v>
      </c>
      <c r="O10" s="116" t="s">
        <v>26</v>
      </c>
      <c r="P10" s="124"/>
    </row>
    <row r="11" spans="1:16" x14ac:dyDescent="0.3">
      <c r="A11" s="115" t="s">
        <v>35</v>
      </c>
      <c r="B11" s="116" t="s">
        <v>19</v>
      </c>
      <c r="C11" s="126">
        <v>63680000</v>
      </c>
      <c r="D11" s="118">
        <v>70684800</v>
      </c>
      <c r="E11" s="119">
        <v>45685</v>
      </c>
      <c r="F11" s="119"/>
      <c r="G11" s="126">
        <f t="shared" si="0"/>
        <v>63680000</v>
      </c>
      <c r="H11" s="118">
        <f t="shared" si="1"/>
        <v>70684800</v>
      </c>
      <c r="I11" s="192">
        <v>45812</v>
      </c>
      <c r="J11" s="193" t="s">
        <v>84</v>
      </c>
      <c r="K11" s="116" t="s">
        <v>85</v>
      </c>
      <c r="L11" s="154" t="s">
        <v>86</v>
      </c>
      <c r="M11" s="116" t="s">
        <v>48</v>
      </c>
      <c r="N11" s="116" t="s">
        <v>87</v>
      </c>
      <c r="O11" s="116" t="s">
        <v>26</v>
      </c>
      <c r="P11" s="124">
        <v>45762</v>
      </c>
    </row>
    <row r="12" spans="1:16" x14ac:dyDescent="0.3">
      <c r="A12" s="125" t="s">
        <v>82</v>
      </c>
      <c r="B12" s="116" t="s">
        <v>19</v>
      </c>
      <c r="C12" s="126">
        <v>15905500</v>
      </c>
      <c r="D12" s="118">
        <v>17655105</v>
      </c>
      <c r="E12" s="119">
        <v>45701</v>
      </c>
      <c r="F12" s="119" t="s">
        <v>129</v>
      </c>
      <c r="G12" s="126">
        <f t="shared" si="0"/>
        <v>15905500</v>
      </c>
      <c r="H12" s="118">
        <f t="shared" si="1"/>
        <v>17655105</v>
      </c>
      <c r="I12" s="192">
        <v>45755</v>
      </c>
      <c r="J12" s="193" t="s">
        <v>130</v>
      </c>
      <c r="K12" s="128" t="s">
        <v>53</v>
      </c>
      <c r="L12" s="128" t="s">
        <v>131</v>
      </c>
      <c r="M12" s="128" t="s">
        <v>128</v>
      </c>
      <c r="N12" s="128" t="s">
        <v>53</v>
      </c>
      <c r="O12" s="116" t="s">
        <v>26</v>
      </c>
      <c r="P12" s="124"/>
    </row>
    <row r="13" spans="1:16" x14ac:dyDescent="0.3">
      <c r="A13" s="115" t="s">
        <v>88</v>
      </c>
      <c r="B13" s="116" t="s">
        <v>19</v>
      </c>
      <c r="C13" s="126">
        <v>37631444</v>
      </c>
      <c r="D13" s="118">
        <v>41770902.840000004</v>
      </c>
      <c r="E13" s="119">
        <v>45709</v>
      </c>
      <c r="F13" s="119"/>
      <c r="G13" s="126">
        <f t="shared" si="0"/>
        <v>37631444</v>
      </c>
      <c r="H13" s="118">
        <f t="shared" si="1"/>
        <v>41770902.840000004</v>
      </c>
      <c r="I13" s="41">
        <v>45723</v>
      </c>
      <c r="J13" s="42" t="s">
        <v>89</v>
      </c>
      <c r="K13" s="116" t="s">
        <v>90</v>
      </c>
      <c r="L13" s="154" t="s">
        <v>91</v>
      </c>
      <c r="M13" s="116" t="s">
        <v>92</v>
      </c>
      <c r="N13" s="116" t="s">
        <v>93</v>
      </c>
      <c r="O13" s="116" t="s">
        <v>26</v>
      </c>
      <c r="P13" s="124">
        <v>45719</v>
      </c>
    </row>
    <row r="14" spans="1:16" x14ac:dyDescent="0.3">
      <c r="A14" s="115" t="s">
        <v>94</v>
      </c>
      <c r="B14" s="116" t="s">
        <v>19</v>
      </c>
      <c r="C14" s="126">
        <v>998000000</v>
      </c>
      <c r="D14" s="118">
        <v>1107780000</v>
      </c>
      <c r="E14" s="119">
        <v>45705</v>
      </c>
      <c r="F14" s="119"/>
      <c r="G14" s="126" t="str">
        <f t="shared" si="0"/>
        <v/>
      </c>
      <c r="H14" s="118" t="str">
        <f t="shared" si="1"/>
        <v xml:space="preserve"> </v>
      </c>
      <c r="I14" s="116"/>
      <c r="J14" s="116"/>
      <c r="K14" s="116" t="s">
        <v>53</v>
      </c>
      <c r="L14" s="154" t="s">
        <v>95</v>
      </c>
      <c r="M14" s="116" t="s">
        <v>96</v>
      </c>
      <c r="N14" s="116" t="s">
        <v>79</v>
      </c>
      <c r="O14" s="116" t="s">
        <v>41</v>
      </c>
      <c r="P14" s="124">
        <v>45720</v>
      </c>
    </row>
    <row r="15" spans="1:16" x14ac:dyDescent="0.3">
      <c r="A15" s="125" t="s">
        <v>82</v>
      </c>
      <c r="B15" s="116" t="s">
        <v>19</v>
      </c>
      <c r="C15" s="126">
        <v>10686000</v>
      </c>
      <c r="D15" s="118">
        <v>11861460.000000002</v>
      </c>
      <c r="E15" s="133">
        <v>45716</v>
      </c>
      <c r="F15" s="133"/>
      <c r="G15" s="126" t="str">
        <f t="shared" si="0"/>
        <v/>
      </c>
      <c r="H15" s="118" t="str">
        <f t="shared" si="1"/>
        <v xml:space="preserve"> </v>
      </c>
      <c r="I15" s="116"/>
      <c r="J15" s="116"/>
      <c r="K15" s="128" t="s">
        <v>53</v>
      </c>
      <c r="L15" s="128" t="s">
        <v>132</v>
      </c>
      <c r="M15" s="128" t="s">
        <v>128</v>
      </c>
      <c r="N15" s="128" t="s">
        <v>53</v>
      </c>
      <c r="O15" s="116" t="s">
        <v>41</v>
      </c>
      <c r="P15" s="124"/>
    </row>
    <row r="16" spans="1:16" x14ac:dyDescent="0.3">
      <c r="A16" s="125" t="s">
        <v>82</v>
      </c>
      <c r="B16" s="116" t="s">
        <v>19</v>
      </c>
      <c r="C16" s="126">
        <v>13837200</v>
      </c>
      <c r="D16" s="118">
        <v>15359292.000000002</v>
      </c>
      <c r="E16" s="133">
        <v>45716</v>
      </c>
      <c r="F16" s="133"/>
      <c r="G16" s="126" t="str">
        <f t="shared" si="0"/>
        <v/>
      </c>
      <c r="H16" s="118" t="str">
        <f t="shared" si="1"/>
        <v xml:space="preserve"> </v>
      </c>
      <c r="I16" s="116"/>
      <c r="J16" s="116"/>
      <c r="K16" s="128" t="s">
        <v>53</v>
      </c>
      <c r="L16" s="128" t="s">
        <v>133</v>
      </c>
      <c r="M16" s="128" t="s">
        <v>128</v>
      </c>
      <c r="N16" s="128" t="s">
        <v>53</v>
      </c>
      <c r="O16" s="116" t="s">
        <v>41</v>
      </c>
      <c r="P16" s="124"/>
    </row>
    <row r="17" spans="1:16" x14ac:dyDescent="0.3">
      <c r="A17" s="134" t="s">
        <v>88</v>
      </c>
      <c r="B17" s="135" t="s">
        <v>19</v>
      </c>
      <c r="C17" s="136">
        <v>11564500</v>
      </c>
      <c r="D17" s="157">
        <v>12836595.000000002</v>
      </c>
      <c r="E17" s="133">
        <v>45720</v>
      </c>
      <c r="F17" s="133"/>
      <c r="G17" s="126">
        <f t="shared" si="0"/>
        <v>11564500</v>
      </c>
      <c r="H17" s="118">
        <f t="shared" si="1"/>
        <v>12836595.000000002</v>
      </c>
      <c r="I17" s="192">
        <v>45737</v>
      </c>
      <c r="J17" s="193" t="s">
        <v>97</v>
      </c>
      <c r="K17" s="116" t="s">
        <v>98</v>
      </c>
      <c r="L17" s="154" t="s">
        <v>99</v>
      </c>
      <c r="M17" s="116" t="s">
        <v>92</v>
      </c>
      <c r="N17" s="116" t="s">
        <v>93</v>
      </c>
      <c r="O17" s="116" t="s">
        <v>26</v>
      </c>
      <c r="P17" s="124">
        <v>45733</v>
      </c>
    </row>
    <row r="18" spans="1:16" x14ac:dyDescent="0.3">
      <c r="A18" s="125" t="s">
        <v>100</v>
      </c>
      <c r="B18" s="116" t="s">
        <v>19</v>
      </c>
      <c r="C18" s="158">
        <v>44375000</v>
      </c>
      <c r="D18" s="159">
        <v>49256250</v>
      </c>
      <c r="E18" s="133">
        <v>45723</v>
      </c>
      <c r="F18" s="133" t="s">
        <v>134</v>
      </c>
      <c r="G18" s="158">
        <f t="shared" si="0"/>
        <v>44375000</v>
      </c>
      <c r="H18" s="159">
        <f t="shared" si="1"/>
        <v>49256250</v>
      </c>
      <c r="I18" s="192">
        <v>45735</v>
      </c>
      <c r="J18" s="193" t="s">
        <v>135</v>
      </c>
      <c r="K18" s="128" t="s">
        <v>53</v>
      </c>
      <c r="L18" s="128" t="s">
        <v>136</v>
      </c>
      <c r="M18" s="128" t="s">
        <v>137</v>
      </c>
      <c r="N18" s="128" t="s">
        <v>53</v>
      </c>
      <c r="O18" s="116" t="s">
        <v>26</v>
      </c>
      <c r="P18" s="124"/>
    </row>
    <row r="19" spans="1:16" x14ac:dyDescent="0.3">
      <c r="A19" s="125" t="s">
        <v>101</v>
      </c>
      <c r="B19" s="116" t="s">
        <v>19</v>
      </c>
      <c r="C19" s="126">
        <v>1410000</v>
      </c>
      <c r="D19" s="118">
        <v>1565100.0000000002</v>
      </c>
      <c r="E19" s="119">
        <v>45740</v>
      </c>
      <c r="F19" s="119"/>
      <c r="G19" s="126" t="str">
        <f t="shared" si="0"/>
        <v/>
      </c>
      <c r="H19" s="118" t="str">
        <f t="shared" si="1"/>
        <v xml:space="preserve"> </v>
      </c>
      <c r="I19" s="116"/>
      <c r="J19" s="116"/>
      <c r="K19" s="128" t="s">
        <v>53</v>
      </c>
      <c r="L19" s="128" t="s">
        <v>138</v>
      </c>
      <c r="M19" s="128" t="s">
        <v>53</v>
      </c>
      <c r="N19" s="128" t="s">
        <v>53</v>
      </c>
      <c r="O19" s="116" t="s">
        <v>41</v>
      </c>
      <c r="P19" s="124"/>
    </row>
    <row r="20" spans="1:16" x14ac:dyDescent="0.3">
      <c r="A20" s="125" t="s">
        <v>101</v>
      </c>
      <c r="B20" s="116" t="s">
        <v>19</v>
      </c>
      <c r="C20" s="126">
        <v>41750000</v>
      </c>
      <c r="D20" s="118">
        <v>46342500.000000007</v>
      </c>
      <c r="E20" s="119">
        <v>45757</v>
      </c>
      <c r="F20" s="119"/>
      <c r="G20" s="126" t="str">
        <f t="shared" si="0"/>
        <v/>
      </c>
      <c r="H20" s="118" t="str">
        <f t="shared" si="1"/>
        <v xml:space="preserve"> </v>
      </c>
      <c r="I20" s="116"/>
      <c r="J20" s="116"/>
      <c r="K20" s="128" t="s">
        <v>53</v>
      </c>
      <c r="L20" s="128" t="s">
        <v>139</v>
      </c>
      <c r="M20" s="128" t="s">
        <v>53</v>
      </c>
      <c r="N20" s="128" t="s">
        <v>53</v>
      </c>
      <c r="O20" s="116" t="s">
        <v>41</v>
      </c>
      <c r="P20" s="124"/>
    </row>
    <row r="21" spans="1:16" x14ac:dyDescent="0.3">
      <c r="A21" s="125" t="s">
        <v>102</v>
      </c>
      <c r="B21" s="116" t="s">
        <v>19</v>
      </c>
      <c r="C21" s="126">
        <v>211000000</v>
      </c>
      <c r="D21" s="126">
        <v>234210000.00000003</v>
      </c>
      <c r="E21" s="119">
        <v>45762</v>
      </c>
      <c r="F21" s="119"/>
      <c r="G21" s="126" t="str">
        <f t="shared" si="0"/>
        <v/>
      </c>
      <c r="H21" s="118" t="str">
        <f t="shared" si="1"/>
        <v xml:space="preserve"> </v>
      </c>
      <c r="I21" s="116"/>
      <c r="J21" s="116"/>
      <c r="K21" s="116" t="s">
        <v>103</v>
      </c>
      <c r="L21" s="154" t="s">
        <v>104</v>
      </c>
      <c r="M21" s="116" t="s">
        <v>105</v>
      </c>
      <c r="N21" s="116" t="s">
        <v>25</v>
      </c>
      <c r="O21" s="116" t="s">
        <v>41</v>
      </c>
      <c r="P21" s="124">
        <v>45852</v>
      </c>
    </row>
    <row r="22" spans="1:16" x14ac:dyDescent="0.3">
      <c r="A22" s="125" t="s">
        <v>102</v>
      </c>
      <c r="B22" s="116" t="s">
        <v>19</v>
      </c>
      <c r="C22" s="126">
        <v>229000000</v>
      </c>
      <c r="D22" s="126">
        <v>254190000.00000003</v>
      </c>
      <c r="E22" s="119">
        <v>45762</v>
      </c>
      <c r="F22" s="119"/>
      <c r="G22" s="126" t="str">
        <f t="shared" si="0"/>
        <v/>
      </c>
      <c r="H22" s="118" t="str">
        <f t="shared" si="1"/>
        <v xml:space="preserve"> </v>
      </c>
      <c r="I22" s="116"/>
      <c r="J22" s="116"/>
      <c r="K22" s="116" t="s">
        <v>106</v>
      </c>
      <c r="L22" s="154" t="s">
        <v>107</v>
      </c>
      <c r="M22" s="116" t="s">
        <v>105</v>
      </c>
      <c r="N22" s="116" t="s">
        <v>25</v>
      </c>
      <c r="O22" s="116" t="s">
        <v>41</v>
      </c>
      <c r="P22" s="124">
        <v>45855</v>
      </c>
    </row>
    <row r="23" spans="1:16" x14ac:dyDescent="0.3">
      <c r="A23" s="140" t="s">
        <v>108</v>
      </c>
      <c r="B23" s="116" t="s">
        <v>19</v>
      </c>
      <c r="C23" s="126">
        <v>70468000</v>
      </c>
      <c r="D23" s="118">
        <v>78219480</v>
      </c>
      <c r="E23" s="119">
        <v>45763</v>
      </c>
      <c r="F23" s="119"/>
      <c r="G23" s="126" t="str">
        <f t="shared" si="0"/>
        <v/>
      </c>
      <c r="H23" s="118" t="str">
        <f t="shared" si="1"/>
        <v xml:space="preserve"> </v>
      </c>
      <c r="I23" s="116"/>
      <c r="J23" s="116"/>
      <c r="K23" s="116" t="s">
        <v>109</v>
      </c>
      <c r="L23" s="154" t="s">
        <v>110</v>
      </c>
      <c r="M23" s="116" t="s">
        <v>92</v>
      </c>
      <c r="N23" s="116" t="s">
        <v>93</v>
      </c>
      <c r="O23" s="116" t="s">
        <v>41</v>
      </c>
      <c r="P23" s="124">
        <v>45832</v>
      </c>
    </row>
    <row r="24" spans="1:16" x14ac:dyDescent="0.3">
      <c r="A24" s="125" t="s">
        <v>101</v>
      </c>
      <c r="B24" s="116" t="s">
        <v>19</v>
      </c>
      <c r="C24" s="126">
        <v>6850400</v>
      </c>
      <c r="D24" s="126">
        <v>7603944.0000000009</v>
      </c>
      <c r="E24" s="119">
        <v>45783</v>
      </c>
      <c r="F24" s="119"/>
      <c r="G24" s="126" t="str">
        <f t="shared" si="0"/>
        <v/>
      </c>
      <c r="H24" s="118" t="str">
        <f t="shared" si="1"/>
        <v xml:space="preserve"> </v>
      </c>
      <c r="I24" s="116"/>
      <c r="J24" s="116"/>
      <c r="K24" s="128" t="s">
        <v>53</v>
      </c>
      <c r="L24" s="128" t="s">
        <v>140</v>
      </c>
      <c r="M24" s="128" t="s">
        <v>53</v>
      </c>
      <c r="N24" s="128" t="s">
        <v>53</v>
      </c>
      <c r="O24" s="116" t="s">
        <v>41</v>
      </c>
      <c r="P24" s="124"/>
    </row>
    <row r="25" spans="1:16" x14ac:dyDescent="0.3">
      <c r="A25" s="125" t="s">
        <v>101</v>
      </c>
      <c r="B25" s="116" t="s">
        <v>19</v>
      </c>
      <c r="C25" s="126">
        <v>44000000</v>
      </c>
      <c r="D25" s="126">
        <v>48840000.000000007</v>
      </c>
      <c r="E25" s="119">
        <v>45804</v>
      </c>
      <c r="F25" s="119"/>
      <c r="G25" s="126" t="str">
        <f t="shared" si="0"/>
        <v/>
      </c>
      <c r="H25" s="118" t="str">
        <f t="shared" si="1"/>
        <v xml:space="preserve"> </v>
      </c>
      <c r="I25" s="116"/>
      <c r="J25" s="116"/>
      <c r="K25" s="128" t="s">
        <v>53</v>
      </c>
      <c r="L25" s="128" t="s">
        <v>53</v>
      </c>
      <c r="M25" s="128" t="s">
        <v>53</v>
      </c>
      <c r="N25" s="128" t="s">
        <v>53</v>
      </c>
      <c r="O25" s="116" t="s">
        <v>41</v>
      </c>
      <c r="P25" s="124"/>
    </row>
    <row r="26" spans="1:16" x14ac:dyDescent="0.3">
      <c r="A26" s="125" t="s">
        <v>102</v>
      </c>
      <c r="B26" s="116" t="s">
        <v>19</v>
      </c>
      <c r="C26" s="126">
        <v>211000000</v>
      </c>
      <c r="D26" s="126">
        <v>234210000.00000003</v>
      </c>
      <c r="E26" s="125"/>
      <c r="F26" s="125" t="s">
        <v>141</v>
      </c>
      <c r="G26" s="121"/>
      <c r="H26" s="125"/>
      <c r="I26" s="125"/>
      <c r="J26" s="125"/>
      <c r="K26" s="125" t="s">
        <v>142</v>
      </c>
      <c r="L26" s="125" t="s">
        <v>143</v>
      </c>
      <c r="M26" s="116" t="s">
        <v>105</v>
      </c>
      <c r="N26" s="116" t="s">
        <v>25</v>
      </c>
      <c r="O26" s="116" t="s">
        <v>41</v>
      </c>
      <c r="P26" s="125"/>
    </row>
    <row r="27" spans="1:16" x14ac:dyDescent="0.3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</row>
    <row r="28" spans="1:16" x14ac:dyDescent="0.3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</row>
    <row r="29" spans="1:16" x14ac:dyDescent="0.3">
      <c r="A29" s="125"/>
      <c r="B29" s="125"/>
      <c r="C29" s="121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</row>
    <row r="30" spans="1:16" x14ac:dyDescent="0.3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</row>
    <row r="31" spans="1:16" x14ac:dyDescent="0.3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</row>
    <row r="32" spans="1:16" x14ac:dyDescent="0.3">
      <c r="A32" s="160" t="s">
        <v>111</v>
      </c>
      <c r="B32" s="160"/>
      <c r="C32" s="161">
        <f>SUM(C4:C31)</f>
        <v>2201392168.25</v>
      </c>
      <c r="D32" s="39">
        <f>SUM($D$4:$D$31)</f>
        <v>2443545306.7575002</v>
      </c>
    </row>
    <row r="33" spans="1:8" x14ac:dyDescent="0.3">
      <c r="A33" s="162" t="s">
        <v>144</v>
      </c>
      <c r="B33" s="162"/>
      <c r="C33" s="163">
        <v>1687907100</v>
      </c>
      <c r="D33" s="164">
        <v>1873576881.0000002</v>
      </c>
    </row>
    <row r="34" spans="1:8" x14ac:dyDescent="0.3">
      <c r="A34" s="162" t="s">
        <v>145</v>
      </c>
      <c r="B34" s="162"/>
      <c r="C34" s="163">
        <f>G38</f>
        <v>1838001600</v>
      </c>
      <c r="D34" s="164">
        <f>H38</f>
        <v>2040181776.0000002</v>
      </c>
      <c r="H34" s="7"/>
    </row>
    <row r="35" spans="1:8" x14ac:dyDescent="0.3">
      <c r="H35" s="7"/>
    </row>
    <row r="36" spans="1:8" ht="55.2" x14ac:dyDescent="0.3">
      <c r="B36" s="141" t="s">
        <v>113</v>
      </c>
      <c r="C36" s="141" t="s">
        <v>4</v>
      </c>
      <c r="D36" s="141" t="s">
        <v>5</v>
      </c>
      <c r="F36" s="165" t="s">
        <v>63</v>
      </c>
      <c r="G36" s="165" t="s">
        <v>64</v>
      </c>
      <c r="H36" s="165" t="s">
        <v>65</v>
      </c>
    </row>
    <row r="37" spans="1:8" x14ac:dyDescent="0.3">
      <c r="B37" s="143" t="s">
        <v>114</v>
      </c>
      <c r="C37" s="121">
        <v>196536375</v>
      </c>
      <c r="D37" s="121">
        <v>218155376.25</v>
      </c>
      <c r="F37" s="166" t="s">
        <v>26</v>
      </c>
      <c r="G37" s="167">
        <f>SUM($G4:$G25)</f>
        <v>363390568.25</v>
      </c>
      <c r="H37" s="167">
        <f>SUM($H4:$H25)</f>
        <v>403363530.75750005</v>
      </c>
    </row>
    <row r="38" spans="1:8" x14ac:dyDescent="0.3">
      <c r="B38" s="143" t="s">
        <v>115</v>
      </c>
      <c r="C38" s="121">
        <v>1076060144</v>
      </c>
      <c r="D38" s="121">
        <v>1194426759.8399999</v>
      </c>
      <c r="F38" s="168" t="s">
        <v>41</v>
      </c>
      <c r="G38" s="169">
        <f>$C$32 - $G$37</f>
        <v>1838001600</v>
      </c>
      <c r="H38" s="169">
        <f>$G$38*1.11</f>
        <v>2040181776.0000002</v>
      </c>
    </row>
    <row r="39" spans="1:8" x14ac:dyDescent="0.3">
      <c r="B39" s="143" t="s">
        <v>116</v>
      </c>
      <c r="C39" s="121">
        <v>57974500</v>
      </c>
      <c r="D39" s="121">
        <v>64351695.000000007</v>
      </c>
      <c r="F39" s="38" t="s">
        <v>71</v>
      </c>
      <c r="G39" s="37">
        <v>1991017168.25</v>
      </c>
      <c r="H39" s="36">
        <v>2210029056.7575002</v>
      </c>
    </row>
    <row r="40" spans="1:8" x14ac:dyDescent="0.3">
      <c r="B40" s="143" t="s">
        <v>117</v>
      </c>
      <c r="C40" s="121">
        <v>552218000</v>
      </c>
      <c r="D40" s="121">
        <v>612961980.00000012</v>
      </c>
    </row>
    <row r="41" spans="1:8" x14ac:dyDescent="0.3">
      <c r="B41" s="143" t="s">
        <v>118</v>
      </c>
      <c r="C41" s="121">
        <v>50850400</v>
      </c>
      <c r="D41" s="121">
        <v>56443944.000000007</v>
      </c>
    </row>
    <row r="42" spans="1:8" x14ac:dyDescent="0.3">
      <c r="B42" s="143" t="s">
        <v>119</v>
      </c>
      <c r="C42" s="121">
        <f>C26</f>
        <v>211000000</v>
      </c>
      <c r="D42" s="121">
        <f>D26</f>
        <v>234210000.00000003</v>
      </c>
    </row>
    <row r="43" spans="1:8" x14ac:dyDescent="0.3">
      <c r="B43" s="143" t="s">
        <v>120</v>
      </c>
      <c r="C43" s="125"/>
      <c r="D43" s="125"/>
    </row>
    <row r="44" spans="1:8" x14ac:dyDescent="0.3">
      <c r="B44" s="143" t="s">
        <v>121</v>
      </c>
      <c r="C44" s="125"/>
      <c r="D44" s="125"/>
    </row>
    <row r="45" spans="1:8" x14ac:dyDescent="0.3">
      <c r="B45" s="143" t="s">
        <v>122</v>
      </c>
      <c r="C45" s="125"/>
      <c r="D45" s="125"/>
    </row>
    <row r="46" spans="1:8" x14ac:dyDescent="0.3">
      <c r="B46" s="143" t="s">
        <v>66</v>
      </c>
      <c r="C46" s="125"/>
      <c r="D46" s="125"/>
    </row>
    <row r="47" spans="1:8" x14ac:dyDescent="0.3">
      <c r="B47" s="143" t="s">
        <v>67</v>
      </c>
      <c r="C47" s="125"/>
      <c r="D47" s="125"/>
    </row>
    <row r="48" spans="1:8" x14ac:dyDescent="0.3">
      <c r="B48" s="143" t="s">
        <v>68</v>
      </c>
      <c r="C48" s="125"/>
      <c r="D48" s="125"/>
    </row>
    <row r="49" spans="2:4" x14ac:dyDescent="0.3">
      <c r="B49" s="148" t="s">
        <v>70</v>
      </c>
      <c r="C49" s="170">
        <f>SUM(C37:C48)</f>
        <v>2144639419</v>
      </c>
      <c r="D49" s="170">
        <f>SUM(D37:D48)</f>
        <v>2380549755.0900002</v>
      </c>
    </row>
    <row r="52" spans="2:4" x14ac:dyDescent="0.3">
      <c r="B52" s="148" t="s">
        <v>72</v>
      </c>
      <c r="C52" s="170">
        <f>C49*0.00008</f>
        <v>171571.15352000002</v>
      </c>
      <c r="D52" s="170">
        <f>D49*0.00008</f>
        <v>190443.98040720003</v>
      </c>
    </row>
  </sheetData>
  <autoFilter ref="A3:P26" xr:uid="{4C1315BF-0D92-42B5-9859-EC01FD677F6A}"/>
  <conditionalFormatting sqref="O1:O40 M41 O42:O1048576">
    <cfRule type="containsText" dxfId="22" priority="1" operator="containsText" text="Open">
      <formula>NOT(ISERROR(SEARCH("Open",M1)))</formula>
    </cfRule>
    <cfRule type="containsText" dxfId="21" priority="2" operator="containsText" text="Closed (Billed)">
      <formula>NOT(ISERROR(SEARCH("Closed (Billed)",M1)))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D93A6-B3C4-440A-ABF0-D0E01DDED064}">
  <dimension ref="A1:I82"/>
  <sheetViews>
    <sheetView workbookViewId="0">
      <selection sqref="A1:I20"/>
    </sheetView>
  </sheetViews>
  <sheetFormatPr defaultRowHeight="14.4" x14ac:dyDescent="0.3"/>
  <cols>
    <col min="1" max="1" width="20.44140625" customWidth="1"/>
    <col min="2" max="2" width="5.33203125" customWidth="1"/>
    <col min="3" max="3" width="15.33203125" customWidth="1"/>
    <col min="4" max="4" width="10" bestFit="1" customWidth="1"/>
    <col min="5" max="5" width="11.44140625" bestFit="1" customWidth="1"/>
    <col min="6" max="6" width="20.33203125" customWidth="1"/>
    <col min="7" max="7" width="14.109375" bestFit="1" customWidth="1"/>
  </cols>
  <sheetData>
    <row r="1" spans="1:9" x14ac:dyDescent="0.3">
      <c r="A1" t="s">
        <v>146</v>
      </c>
      <c r="C1" s="377" t="s">
        <v>147</v>
      </c>
      <c r="D1" s="377"/>
      <c r="E1" s="377"/>
      <c r="G1" s="377" t="s">
        <v>148</v>
      </c>
      <c r="H1" s="377"/>
    </row>
    <row r="2" spans="1:9" x14ac:dyDescent="0.3">
      <c r="D2" s="2" t="s">
        <v>149</v>
      </c>
    </row>
    <row r="3" spans="1:9" x14ac:dyDescent="0.3">
      <c r="B3" t="s">
        <v>150</v>
      </c>
      <c r="C3" s="2" t="s">
        <v>19</v>
      </c>
      <c r="D3">
        <v>8.6899999999999998E-5</v>
      </c>
      <c r="E3" s="2" t="s">
        <v>151</v>
      </c>
      <c r="G3" s="2" t="str">
        <f>C3</f>
        <v>IDR</v>
      </c>
      <c r="H3" s="2" t="str">
        <f>E3</f>
        <v>SGD</v>
      </c>
    </row>
    <row r="4" spans="1:9" x14ac:dyDescent="0.3">
      <c r="A4" s="1" t="s">
        <v>152</v>
      </c>
      <c r="B4" s="1"/>
      <c r="C4" s="3">
        <v>0</v>
      </c>
      <c r="D4" s="3"/>
      <c r="E4" s="3">
        <f>$C4*$D$3</f>
        <v>0</v>
      </c>
      <c r="F4" s="1" t="s">
        <v>152</v>
      </c>
      <c r="G4" s="4">
        <f>C4</f>
        <v>0</v>
      </c>
      <c r="H4" s="4">
        <f>E4</f>
        <v>0</v>
      </c>
    </row>
    <row r="5" spans="1:9" x14ac:dyDescent="0.3">
      <c r="A5" t="s">
        <v>153</v>
      </c>
      <c r="B5">
        <f>'Order intake 2024'!A10</f>
        <v>7</v>
      </c>
      <c r="C5" s="19">
        <f>'Order intake 2024'!D37</f>
        <v>242448073.87</v>
      </c>
      <c r="D5" s="3"/>
      <c r="E5" s="3">
        <f t="shared" ref="E5:E6" si="0">$C5*$D$3</f>
        <v>21068.737619303</v>
      </c>
      <c r="F5" t="s">
        <v>153</v>
      </c>
      <c r="G5" s="4">
        <f t="shared" ref="G5:G6" si="1">C5</f>
        <v>242448073.87</v>
      </c>
      <c r="H5" s="4">
        <f>E5</f>
        <v>21068.737619303</v>
      </c>
    </row>
    <row r="6" spans="1:9" x14ac:dyDescent="0.3">
      <c r="A6" t="s">
        <v>154</v>
      </c>
      <c r="C6" s="3">
        <v>185070325</v>
      </c>
      <c r="D6" s="3"/>
      <c r="E6" s="3">
        <f t="shared" si="0"/>
        <v>16082.611242499999</v>
      </c>
      <c r="F6" t="s">
        <v>154</v>
      </c>
      <c r="G6" s="4">
        <f t="shared" si="1"/>
        <v>185070325</v>
      </c>
      <c r="H6" s="4">
        <f>E6</f>
        <v>16082.611242499999</v>
      </c>
    </row>
    <row r="7" spans="1:9" ht="15" thickBot="1" x14ac:dyDescent="0.35">
      <c r="A7" t="s">
        <v>155</v>
      </c>
      <c r="C7" s="171">
        <f>C4+C5-C6</f>
        <v>57377748.870000005</v>
      </c>
      <c r="D7" s="5"/>
      <c r="E7" s="171">
        <f>E4+E5-E6</f>
        <v>4986.1263768030003</v>
      </c>
      <c r="F7" t="s">
        <v>155</v>
      </c>
      <c r="G7" s="172">
        <f>C7</f>
        <v>57377748.870000005</v>
      </c>
      <c r="H7" s="172">
        <f>E7</f>
        <v>4986.1263768030003</v>
      </c>
    </row>
    <row r="8" spans="1:9" ht="15" thickTop="1" x14ac:dyDescent="0.3"/>
    <row r="9" spans="1:9" x14ac:dyDescent="0.3">
      <c r="D9">
        <v>9.0000000000000006E-5</v>
      </c>
    </row>
    <row r="10" spans="1:9" x14ac:dyDescent="0.3">
      <c r="A10" t="s">
        <v>156</v>
      </c>
      <c r="C10" s="3">
        <f>C7</f>
        <v>57377748.870000005</v>
      </c>
      <c r="D10" s="3"/>
      <c r="E10" s="3">
        <f>$C10*$D$9</f>
        <v>5163.9973983000009</v>
      </c>
      <c r="F10" t="s">
        <v>156</v>
      </c>
      <c r="G10" s="4">
        <f>C10</f>
        <v>57377748.870000005</v>
      </c>
      <c r="H10" s="4">
        <f>E10</f>
        <v>5163.9973983000009</v>
      </c>
    </row>
    <row r="11" spans="1:9" x14ac:dyDescent="0.3">
      <c r="A11" t="s">
        <v>153</v>
      </c>
      <c r="B11">
        <f>'May 2025'!A25-'May 2025'!A6</f>
        <v>19</v>
      </c>
      <c r="C11" s="3">
        <f>'May 2025'!E26</f>
        <v>1933639419</v>
      </c>
      <c r="D11" s="3"/>
      <c r="E11" s="3">
        <f>$C11*$D$9</f>
        <v>174027.54771000001</v>
      </c>
      <c r="F11" t="s">
        <v>153</v>
      </c>
      <c r="G11" s="4">
        <f>C11</f>
        <v>1933639419</v>
      </c>
      <c r="H11" s="4">
        <f>E11</f>
        <v>174027.54771000001</v>
      </c>
      <c r="I11" s="4">
        <f>H11+H5</f>
        <v>195096.28532930301</v>
      </c>
    </row>
    <row r="12" spans="1:9" x14ac:dyDescent="0.3">
      <c r="A12" t="s">
        <v>154</v>
      </c>
      <c r="C12" s="3">
        <v>303110068.25</v>
      </c>
      <c r="D12" s="3"/>
      <c r="E12" s="3">
        <f>$C12*$D$9</f>
        <v>27279.9061425</v>
      </c>
      <c r="F12" t="s">
        <v>154</v>
      </c>
      <c r="G12" s="4">
        <f>C12</f>
        <v>303110068.25</v>
      </c>
      <c r="H12" s="4">
        <f>E12</f>
        <v>27279.9061425</v>
      </c>
      <c r="I12" s="4">
        <f>H12+H6</f>
        <v>43362.517384999999</v>
      </c>
    </row>
    <row r="13" spans="1:9" ht="15" thickBot="1" x14ac:dyDescent="0.35">
      <c r="A13" t="s">
        <v>157</v>
      </c>
      <c r="C13" s="171">
        <f>C10+C11-C12</f>
        <v>1687907099.6199999</v>
      </c>
      <c r="D13" s="3"/>
      <c r="E13" s="171">
        <f>E10+E11-E12</f>
        <v>151911.63896580003</v>
      </c>
      <c r="F13" t="s">
        <v>157</v>
      </c>
      <c r="G13" s="172">
        <f>C13</f>
        <v>1687907099.6199999</v>
      </c>
      <c r="H13" s="172">
        <f>H10+H11-H12</f>
        <v>151911.63896580003</v>
      </c>
    </row>
    <row r="14" spans="1:9" ht="15" thickTop="1" x14ac:dyDescent="0.3">
      <c r="C14" s="3">
        <f>'May 2025'!E27</f>
        <v>1687907100</v>
      </c>
      <c r="D14" s="3"/>
      <c r="E14" s="3"/>
    </row>
    <row r="15" spans="1:9" x14ac:dyDescent="0.3">
      <c r="C15" s="3">
        <f>C13-C14</f>
        <v>-0.38000011444091797</v>
      </c>
      <c r="D15" s="3"/>
      <c r="E15" s="3"/>
    </row>
    <row r="16" spans="1:9" x14ac:dyDescent="0.3">
      <c r="C16" s="3"/>
      <c r="D16" s="3"/>
      <c r="E16" s="3"/>
    </row>
    <row r="17" spans="1:8" x14ac:dyDescent="0.3">
      <c r="A17" t="s">
        <v>158</v>
      </c>
      <c r="C17" s="3">
        <f>C13</f>
        <v>1687907099.6199999</v>
      </c>
      <c r="D17" s="3"/>
      <c r="E17" s="3">
        <f>E13</f>
        <v>151911.63896580003</v>
      </c>
      <c r="F17" t="str">
        <f>F10</f>
        <v>Backlog @1 Jan 2025</v>
      </c>
      <c r="G17" s="4">
        <f>G10</f>
        <v>57377748.870000005</v>
      </c>
      <c r="H17" s="4">
        <f>H10</f>
        <v>5163.9973983000009</v>
      </c>
    </row>
    <row r="18" spans="1:8" x14ac:dyDescent="0.3">
      <c r="A18" t="s">
        <v>153</v>
      </c>
      <c r="C18" s="3"/>
      <c r="D18" s="3"/>
      <c r="E18" s="3"/>
      <c r="F18" t="str">
        <f>A18</f>
        <v>Order intake</v>
      </c>
      <c r="G18" s="4">
        <f>G11+C18</f>
        <v>1933639419</v>
      </c>
      <c r="H18" s="4">
        <f>H11+E18</f>
        <v>174027.54771000001</v>
      </c>
    </row>
    <row r="19" spans="1:8" x14ac:dyDescent="0.3">
      <c r="A19" t="s">
        <v>154</v>
      </c>
      <c r="C19" s="3"/>
      <c r="D19" s="3"/>
      <c r="E19" s="3"/>
      <c r="F19" t="str">
        <f t="shared" ref="F19:F20" si="2">A19</f>
        <v>Sales</v>
      </c>
      <c r="G19" s="4">
        <f>G12+C19</f>
        <v>303110068.25</v>
      </c>
      <c r="H19" s="4">
        <f>H12+E19</f>
        <v>27279.9061425</v>
      </c>
    </row>
    <row r="20" spans="1:8" ht="15" thickBot="1" x14ac:dyDescent="0.35">
      <c r="A20" t="s">
        <v>159</v>
      </c>
      <c r="C20" s="171">
        <f>C17+C18-C19</f>
        <v>1687907099.6199999</v>
      </c>
      <c r="D20" s="3"/>
      <c r="E20" s="171">
        <f>E17+E18-E19</f>
        <v>151911.63896580003</v>
      </c>
      <c r="F20" t="str">
        <f t="shared" si="2"/>
        <v>Backlog @30 Jun 2025</v>
      </c>
      <c r="G20" s="172">
        <f>G17+G18-G19</f>
        <v>1687907099.6199999</v>
      </c>
      <c r="H20" s="172">
        <f>H17+H18-H19</f>
        <v>151911.63896580003</v>
      </c>
    </row>
    <row r="21" spans="1:8" ht="15" thickTop="1" x14ac:dyDescent="0.3">
      <c r="C21" s="3"/>
      <c r="D21" s="3"/>
      <c r="E21" s="3"/>
    </row>
    <row r="22" spans="1:8" x14ac:dyDescent="0.3">
      <c r="C22" s="3"/>
      <c r="D22" s="3"/>
      <c r="E22" s="3"/>
    </row>
    <row r="23" spans="1:8" x14ac:dyDescent="0.3">
      <c r="C23" s="3"/>
      <c r="D23" s="3"/>
      <c r="E23" s="3"/>
    </row>
    <row r="24" spans="1:8" x14ac:dyDescent="0.3">
      <c r="C24" s="3"/>
      <c r="D24" s="3"/>
      <c r="E24" s="3"/>
    </row>
    <row r="25" spans="1:8" x14ac:dyDescent="0.3">
      <c r="C25" s="3"/>
      <c r="D25" s="3"/>
      <c r="E25" s="3"/>
    </row>
    <row r="26" spans="1:8" x14ac:dyDescent="0.3">
      <c r="C26" s="3"/>
      <c r="D26" s="3"/>
      <c r="E26" s="3"/>
    </row>
    <row r="27" spans="1:8" x14ac:dyDescent="0.3">
      <c r="C27" s="3"/>
      <c r="D27" s="3"/>
      <c r="E27" s="3"/>
    </row>
    <row r="28" spans="1:8" x14ac:dyDescent="0.3">
      <c r="C28" s="3"/>
      <c r="D28" s="3"/>
      <c r="E28" s="3"/>
    </row>
    <row r="29" spans="1:8" x14ac:dyDescent="0.3">
      <c r="C29" s="3"/>
      <c r="D29" s="3"/>
      <c r="E29" s="3"/>
    </row>
    <row r="30" spans="1:8" x14ac:dyDescent="0.3">
      <c r="C30" s="3"/>
      <c r="D30" s="3"/>
      <c r="E30" s="3"/>
    </row>
    <row r="31" spans="1:8" x14ac:dyDescent="0.3">
      <c r="C31" s="3"/>
      <c r="D31" s="3"/>
      <c r="E31" s="3"/>
    </row>
    <row r="32" spans="1:8" x14ac:dyDescent="0.3">
      <c r="C32" s="3"/>
      <c r="D32" s="3"/>
      <c r="E32" s="3"/>
    </row>
    <row r="33" spans="3:5" x14ac:dyDescent="0.3">
      <c r="C33" s="3"/>
      <c r="D33" s="3"/>
      <c r="E33" s="3"/>
    </row>
    <row r="34" spans="3:5" x14ac:dyDescent="0.3">
      <c r="C34" s="3"/>
      <c r="D34" s="3"/>
      <c r="E34" s="3"/>
    </row>
    <row r="35" spans="3:5" x14ac:dyDescent="0.3">
      <c r="C35" s="3"/>
      <c r="D35" s="3"/>
      <c r="E35" s="3"/>
    </row>
    <row r="36" spans="3:5" x14ac:dyDescent="0.3">
      <c r="C36" s="3"/>
      <c r="D36" s="3"/>
      <c r="E36" s="3"/>
    </row>
    <row r="37" spans="3:5" x14ac:dyDescent="0.3">
      <c r="C37" s="3"/>
      <c r="D37" s="3"/>
      <c r="E37" s="3"/>
    </row>
    <row r="38" spans="3:5" x14ac:dyDescent="0.3">
      <c r="C38" s="3"/>
      <c r="D38" s="3"/>
      <c r="E38" s="3"/>
    </row>
    <row r="39" spans="3:5" x14ac:dyDescent="0.3">
      <c r="C39" s="3"/>
      <c r="D39" s="3"/>
      <c r="E39" s="3"/>
    </row>
    <row r="40" spans="3:5" x14ac:dyDescent="0.3">
      <c r="C40" s="3"/>
      <c r="D40" s="3"/>
      <c r="E40" s="3"/>
    </row>
    <row r="41" spans="3:5" x14ac:dyDescent="0.3">
      <c r="C41" s="3"/>
      <c r="D41" s="3"/>
      <c r="E41" s="3"/>
    </row>
    <row r="42" spans="3:5" x14ac:dyDescent="0.3">
      <c r="C42" s="3"/>
      <c r="D42" s="3"/>
      <c r="E42" s="3"/>
    </row>
    <row r="43" spans="3:5" x14ac:dyDescent="0.3">
      <c r="C43" s="3"/>
      <c r="D43" s="3"/>
      <c r="E43" s="3"/>
    </row>
    <row r="44" spans="3:5" x14ac:dyDescent="0.3">
      <c r="C44" s="3"/>
      <c r="D44" s="3"/>
      <c r="E44" s="3"/>
    </row>
    <row r="45" spans="3:5" x14ac:dyDescent="0.3">
      <c r="C45" s="3"/>
      <c r="D45" s="3"/>
      <c r="E45" s="3"/>
    </row>
    <row r="46" spans="3:5" x14ac:dyDescent="0.3">
      <c r="C46" s="3"/>
      <c r="D46" s="3"/>
      <c r="E46" s="3"/>
    </row>
    <row r="47" spans="3:5" x14ac:dyDescent="0.3">
      <c r="C47" s="3"/>
      <c r="D47" s="3"/>
      <c r="E47" s="3"/>
    </row>
    <row r="48" spans="3:5" x14ac:dyDescent="0.3">
      <c r="C48" s="3"/>
      <c r="D48" s="3"/>
      <c r="E48" s="3"/>
    </row>
    <row r="49" spans="3:5" x14ac:dyDescent="0.3">
      <c r="C49" s="3"/>
      <c r="D49" s="3"/>
      <c r="E49" s="3"/>
    </row>
    <row r="50" spans="3:5" x14ac:dyDescent="0.3">
      <c r="C50" s="3"/>
      <c r="D50" s="3"/>
      <c r="E50" s="3"/>
    </row>
    <row r="51" spans="3:5" x14ac:dyDescent="0.3">
      <c r="C51" s="3"/>
      <c r="D51" s="3"/>
      <c r="E51" s="3"/>
    </row>
    <row r="52" spans="3:5" x14ac:dyDescent="0.3">
      <c r="C52" s="3"/>
      <c r="D52" s="3"/>
      <c r="E52" s="3"/>
    </row>
    <row r="53" spans="3:5" x14ac:dyDescent="0.3">
      <c r="C53" s="3"/>
      <c r="D53" s="3"/>
      <c r="E53" s="3"/>
    </row>
    <row r="54" spans="3:5" x14ac:dyDescent="0.3">
      <c r="C54" s="3"/>
      <c r="D54" s="3"/>
      <c r="E54" s="3"/>
    </row>
    <row r="55" spans="3:5" x14ac:dyDescent="0.3">
      <c r="C55" s="3"/>
      <c r="D55" s="3"/>
      <c r="E55" s="3"/>
    </row>
    <row r="56" spans="3:5" x14ac:dyDescent="0.3">
      <c r="C56" s="3"/>
      <c r="D56" s="3"/>
      <c r="E56" s="3"/>
    </row>
    <row r="57" spans="3:5" x14ac:dyDescent="0.3">
      <c r="C57" s="3"/>
      <c r="D57" s="3"/>
      <c r="E57" s="3"/>
    </row>
    <row r="58" spans="3:5" x14ac:dyDescent="0.3">
      <c r="C58" s="3"/>
      <c r="D58" s="3"/>
      <c r="E58" s="3"/>
    </row>
    <row r="59" spans="3:5" x14ac:dyDescent="0.3">
      <c r="C59" s="3"/>
      <c r="D59" s="3"/>
      <c r="E59" s="3"/>
    </row>
    <row r="60" spans="3:5" x14ac:dyDescent="0.3">
      <c r="C60" s="3"/>
      <c r="D60" s="3"/>
      <c r="E60" s="3"/>
    </row>
    <row r="61" spans="3:5" x14ac:dyDescent="0.3">
      <c r="C61" s="3"/>
      <c r="D61" s="3"/>
      <c r="E61" s="3"/>
    </row>
    <row r="62" spans="3:5" x14ac:dyDescent="0.3">
      <c r="C62" s="3"/>
      <c r="D62" s="3"/>
      <c r="E62" s="3"/>
    </row>
    <row r="63" spans="3:5" x14ac:dyDescent="0.3">
      <c r="C63" s="3"/>
      <c r="D63" s="3"/>
      <c r="E63" s="3"/>
    </row>
    <row r="64" spans="3:5" x14ac:dyDescent="0.3">
      <c r="C64" s="3"/>
      <c r="D64" s="3"/>
      <c r="E64" s="3"/>
    </row>
    <row r="65" spans="3:5" x14ac:dyDescent="0.3">
      <c r="C65" s="3"/>
      <c r="D65" s="3"/>
      <c r="E65" s="3"/>
    </row>
    <row r="66" spans="3:5" x14ac:dyDescent="0.3">
      <c r="C66" s="3"/>
      <c r="D66" s="3"/>
      <c r="E66" s="3"/>
    </row>
    <row r="67" spans="3:5" x14ac:dyDescent="0.3">
      <c r="C67" s="3"/>
      <c r="D67" s="3"/>
      <c r="E67" s="3"/>
    </row>
    <row r="68" spans="3:5" x14ac:dyDescent="0.3">
      <c r="C68" s="3"/>
      <c r="D68" s="3"/>
      <c r="E68" s="3"/>
    </row>
    <row r="69" spans="3:5" x14ac:dyDescent="0.3">
      <c r="C69" s="3"/>
      <c r="D69" s="3"/>
      <c r="E69" s="3"/>
    </row>
    <row r="70" spans="3:5" x14ac:dyDescent="0.3">
      <c r="C70" s="3"/>
      <c r="D70" s="3"/>
      <c r="E70" s="3"/>
    </row>
    <row r="71" spans="3:5" x14ac:dyDescent="0.3">
      <c r="C71" s="3"/>
      <c r="D71" s="3"/>
      <c r="E71" s="3"/>
    </row>
    <row r="72" spans="3:5" x14ac:dyDescent="0.3">
      <c r="C72" s="3"/>
      <c r="D72" s="3"/>
      <c r="E72" s="3"/>
    </row>
    <row r="73" spans="3:5" x14ac:dyDescent="0.3">
      <c r="C73" s="3"/>
      <c r="D73" s="3"/>
      <c r="E73" s="3"/>
    </row>
    <row r="74" spans="3:5" x14ac:dyDescent="0.3">
      <c r="C74" s="3"/>
      <c r="D74" s="3"/>
      <c r="E74" s="3"/>
    </row>
    <row r="75" spans="3:5" x14ac:dyDescent="0.3">
      <c r="C75" s="3"/>
      <c r="D75" s="3"/>
      <c r="E75" s="3"/>
    </row>
    <row r="76" spans="3:5" x14ac:dyDescent="0.3">
      <c r="C76" s="3"/>
      <c r="D76" s="3"/>
      <c r="E76" s="3"/>
    </row>
    <row r="77" spans="3:5" x14ac:dyDescent="0.3">
      <c r="C77" s="3"/>
      <c r="D77" s="3"/>
      <c r="E77" s="3"/>
    </row>
    <row r="78" spans="3:5" x14ac:dyDescent="0.3">
      <c r="C78" s="3"/>
      <c r="D78" s="3"/>
      <c r="E78" s="3"/>
    </row>
    <row r="79" spans="3:5" x14ac:dyDescent="0.3">
      <c r="C79" s="3"/>
      <c r="D79" s="3"/>
      <c r="E79" s="3"/>
    </row>
    <row r="80" spans="3:5" x14ac:dyDescent="0.3">
      <c r="C80" s="3"/>
      <c r="D80" s="3"/>
      <c r="E80" s="3"/>
    </row>
    <row r="81" spans="3:5" x14ac:dyDescent="0.3">
      <c r="C81" s="3"/>
      <c r="D81" s="3"/>
      <c r="E81" s="3"/>
    </row>
    <row r="82" spans="3:5" x14ac:dyDescent="0.3">
      <c r="C82" s="3"/>
      <c r="D82" s="3"/>
      <c r="E82" s="3"/>
    </row>
  </sheetData>
  <mergeCells count="2">
    <mergeCell ref="C1:E1"/>
    <mergeCell ref="G1:H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A7D1-E256-4BCA-BB00-92C0006FC2EB}">
  <dimension ref="A2:J24"/>
  <sheetViews>
    <sheetView topLeftCell="A7" workbookViewId="0">
      <selection activeCell="J22" sqref="J22"/>
    </sheetView>
  </sheetViews>
  <sheetFormatPr defaultRowHeight="14.4" x14ac:dyDescent="0.3"/>
  <cols>
    <col min="1" max="1" width="30" bestFit="1" customWidth="1"/>
    <col min="2" max="2" width="20.33203125" bestFit="1" customWidth="1"/>
    <col min="3" max="6" width="14.109375" bestFit="1" customWidth="1"/>
    <col min="7" max="7" width="15.109375" bestFit="1" customWidth="1"/>
    <col min="8" max="8" width="13.6640625" bestFit="1" customWidth="1"/>
    <col min="10" max="10" width="19.44140625" bestFit="1" customWidth="1"/>
  </cols>
  <sheetData>
    <row r="2" spans="1:10" ht="15" thickBot="1" x14ac:dyDescent="0.35">
      <c r="A2" s="79" t="s">
        <v>19</v>
      </c>
      <c r="J2" s="43">
        <f>SUBTOTAL(9,J5:J10)</f>
        <v>131369778.78999999</v>
      </c>
    </row>
    <row r="3" spans="1:10" x14ac:dyDescent="0.3">
      <c r="A3" s="75" t="s">
        <v>160</v>
      </c>
      <c r="B3" s="75" t="s">
        <v>161</v>
      </c>
      <c r="H3" s="378" t="s">
        <v>162</v>
      </c>
    </row>
    <row r="4" spans="1:10" ht="15" thickBot="1" x14ac:dyDescent="0.35">
      <c r="A4" s="75" t="s">
        <v>2</v>
      </c>
      <c r="B4" s="77">
        <v>45658</v>
      </c>
      <c r="C4" s="77">
        <v>45717</v>
      </c>
      <c r="D4" s="77">
        <v>45748</v>
      </c>
      <c r="E4" s="77">
        <v>45809</v>
      </c>
      <c r="F4" s="77">
        <v>45839</v>
      </c>
      <c r="G4" t="s">
        <v>71</v>
      </c>
      <c r="H4" s="379"/>
      <c r="J4" t="s">
        <v>163</v>
      </c>
    </row>
    <row r="5" spans="1:10" x14ac:dyDescent="0.3">
      <c r="A5" s="20" t="s">
        <v>77</v>
      </c>
      <c r="B5" s="76">
        <v>111118000</v>
      </c>
      <c r="C5" s="76"/>
      <c r="D5" s="76"/>
      <c r="E5" s="76"/>
      <c r="F5" s="76"/>
      <c r="G5" s="76">
        <v>111118000</v>
      </c>
      <c r="H5" s="91" t="s">
        <v>124</v>
      </c>
      <c r="I5" s="20"/>
      <c r="J5" s="43">
        <v>25625000</v>
      </c>
    </row>
    <row r="6" spans="1:10" x14ac:dyDescent="0.3">
      <c r="A6" s="20" t="s">
        <v>35</v>
      </c>
      <c r="B6" s="76">
        <v>57377749</v>
      </c>
      <c r="C6" s="76"/>
      <c r="D6" s="76"/>
      <c r="E6" s="76">
        <v>63680000</v>
      </c>
      <c r="F6" s="76"/>
      <c r="G6" s="76">
        <v>121057749</v>
      </c>
      <c r="H6" s="92" t="s">
        <v>39</v>
      </c>
      <c r="I6" s="78" t="s">
        <v>48</v>
      </c>
      <c r="J6" s="43">
        <v>40987862.469999999</v>
      </c>
    </row>
    <row r="7" spans="1:10" x14ac:dyDescent="0.3">
      <c r="A7" s="20" t="s">
        <v>82</v>
      </c>
      <c r="B7" s="76"/>
      <c r="C7" s="76"/>
      <c r="D7" s="76">
        <v>37643875</v>
      </c>
      <c r="E7" s="76"/>
      <c r="F7" s="76">
        <v>24523200</v>
      </c>
      <c r="G7" s="76">
        <v>62167075</v>
      </c>
      <c r="H7" s="93" t="s">
        <v>128</v>
      </c>
      <c r="I7" s="20"/>
      <c r="J7" s="43">
        <v>14271648</v>
      </c>
    </row>
    <row r="8" spans="1:10" x14ac:dyDescent="0.3">
      <c r="A8" s="20" t="s">
        <v>101</v>
      </c>
      <c r="B8" s="76"/>
      <c r="C8" s="76"/>
      <c r="D8" s="76"/>
      <c r="E8" s="76"/>
      <c r="F8" s="76">
        <v>56860800</v>
      </c>
      <c r="G8" s="76">
        <v>56860800</v>
      </c>
      <c r="J8" s="43">
        <v>28569514</v>
      </c>
    </row>
    <row r="9" spans="1:10" x14ac:dyDescent="0.3">
      <c r="A9" s="20" t="s">
        <v>100</v>
      </c>
      <c r="B9" s="76"/>
      <c r="C9" s="76">
        <v>44375000</v>
      </c>
      <c r="D9" s="76"/>
      <c r="E9" s="76"/>
      <c r="F9" s="76"/>
      <c r="G9" s="76">
        <v>44375000</v>
      </c>
      <c r="J9" s="43">
        <v>5875000</v>
      </c>
    </row>
    <row r="10" spans="1:10" x14ac:dyDescent="0.3">
      <c r="A10" s="20" t="s">
        <v>88</v>
      </c>
      <c r="B10" s="76"/>
      <c r="C10" s="76">
        <v>49195944</v>
      </c>
      <c r="D10" s="76"/>
      <c r="E10" s="76"/>
      <c r="F10" s="76"/>
      <c r="G10" s="76">
        <v>49195944</v>
      </c>
      <c r="J10" s="43">
        <v>16040754.32</v>
      </c>
    </row>
    <row r="11" spans="1:10" x14ac:dyDescent="0.3">
      <c r="A11" s="20" t="s">
        <v>71</v>
      </c>
      <c r="B11" s="76">
        <v>168495749</v>
      </c>
      <c r="C11" s="76">
        <v>93570944</v>
      </c>
      <c r="D11" s="76">
        <v>37643875</v>
      </c>
      <c r="E11" s="76">
        <v>63680000</v>
      </c>
      <c r="F11" s="76">
        <v>81384000</v>
      </c>
      <c r="G11" s="76">
        <v>444774568</v>
      </c>
    </row>
    <row r="13" spans="1:10" x14ac:dyDescent="0.3">
      <c r="A13" s="68">
        <v>8.0000000000000007E-5</v>
      </c>
    </row>
    <row r="15" spans="1:10" ht="15" thickBot="1" x14ac:dyDescent="0.35">
      <c r="A15" s="79" t="s">
        <v>151</v>
      </c>
    </row>
    <row r="16" spans="1:10" ht="15" thickBot="1" x14ac:dyDescent="0.35">
      <c r="A16" s="44" t="s">
        <v>2</v>
      </c>
      <c r="B16" s="82">
        <v>45658</v>
      </c>
      <c r="C16" s="81">
        <v>45717</v>
      </c>
      <c r="D16" s="81">
        <v>45748</v>
      </c>
      <c r="E16" s="82">
        <v>45809</v>
      </c>
      <c r="F16" s="81">
        <v>45839</v>
      </c>
      <c r="G16" s="80" t="s">
        <v>71</v>
      </c>
    </row>
    <row r="17" spans="1:9" x14ac:dyDescent="0.3">
      <c r="A17" s="90" t="s">
        <v>77</v>
      </c>
      <c r="B17" s="50">
        <f t="shared" ref="B17:G23" si="0">B5*$A$13</f>
        <v>8889.44</v>
      </c>
      <c r="C17" s="50">
        <f t="shared" si="0"/>
        <v>0</v>
      </c>
      <c r="D17" s="50">
        <f t="shared" si="0"/>
        <v>0</v>
      </c>
      <c r="E17" s="50">
        <f t="shared" si="0"/>
        <v>0</v>
      </c>
      <c r="F17" s="50">
        <f t="shared" si="0"/>
        <v>0</v>
      </c>
      <c r="G17" s="50">
        <f t="shared" si="0"/>
        <v>8889.44</v>
      </c>
      <c r="H17" s="88">
        <f>G17/$G$23</f>
        <v>0.24982993182290048</v>
      </c>
      <c r="I17" s="89">
        <f>SUM(H17:H19)</f>
        <v>0.6617797985248115</v>
      </c>
    </row>
    <row r="18" spans="1:9" x14ac:dyDescent="0.3">
      <c r="A18" s="173" t="s">
        <v>35</v>
      </c>
      <c r="B18" s="174">
        <f t="shared" si="0"/>
        <v>4590.2199200000005</v>
      </c>
      <c r="C18" s="174">
        <f t="shared" si="0"/>
        <v>0</v>
      </c>
      <c r="D18" s="174">
        <f t="shared" si="0"/>
        <v>0</v>
      </c>
      <c r="E18" s="174">
        <f t="shared" si="0"/>
        <v>5094.4000000000005</v>
      </c>
      <c r="F18" s="174">
        <f t="shared" si="0"/>
        <v>0</v>
      </c>
      <c r="G18" s="174">
        <f t="shared" si="0"/>
        <v>9684.619920000001</v>
      </c>
      <c r="H18" s="88">
        <f t="shared" ref="H18:H22" si="1">G18/$G$23</f>
        <v>0.27217776759214346</v>
      </c>
    </row>
    <row r="19" spans="1:9" x14ac:dyDescent="0.3">
      <c r="A19" s="173" t="s">
        <v>82</v>
      </c>
      <c r="B19" s="174">
        <f t="shared" si="0"/>
        <v>0</v>
      </c>
      <c r="C19" s="174">
        <f t="shared" si="0"/>
        <v>0</v>
      </c>
      <c r="D19" s="174">
        <f t="shared" si="0"/>
        <v>3011.51</v>
      </c>
      <c r="E19" s="174">
        <f t="shared" si="0"/>
        <v>0</v>
      </c>
      <c r="F19" s="174">
        <f t="shared" si="0"/>
        <v>1961.8560000000002</v>
      </c>
      <c r="G19" s="174">
        <f t="shared" si="0"/>
        <v>4973.366</v>
      </c>
      <c r="H19" s="88">
        <f t="shared" si="1"/>
        <v>0.13977209910976746</v>
      </c>
    </row>
    <row r="20" spans="1:9" x14ac:dyDescent="0.3">
      <c r="A20" s="175" t="s">
        <v>101</v>
      </c>
      <c r="B20" s="174">
        <f t="shared" si="0"/>
        <v>0</v>
      </c>
      <c r="C20" s="174">
        <f t="shared" si="0"/>
        <v>0</v>
      </c>
      <c r="D20" s="174">
        <f t="shared" si="0"/>
        <v>0</v>
      </c>
      <c r="E20" s="174">
        <f t="shared" si="0"/>
        <v>0</v>
      </c>
      <c r="F20" s="174">
        <f t="shared" si="0"/>
        <v>4548.8640000000005</v>
      </c>
      <c r="G20" s="174">
        <f t="shared" si="0"/>
        <v>4548.8640000000005</v>
      </c>
      <c r="H20" s="88">
        <f t="shared" si="1"/>
        <v>0.12784184189236289</v>
      </c>
    </row>
    <row r="21" spans="1:9" x14ac:dyDescent="0.3">
      <c r="A21" s="175" t="s">
        <v>100</v>
      </c>
      <c r="B21" s="174">
        <f t="shared" si="0"/>
        <v>0</v>
      </c>
      <c r="C21" s="174">
        <f t="shared" si="0"/>
        <v>3550.0000000000005</v>
      </c>
      <c r="D21" s="174">
        <f t="shared" si="0"/>
        <v>0</v>
      </c>
      <c r="E21" s="174">
        <f t="shared" si="0"/>
        <v>0</v>
      </c>
      <c r="F21" s="174">
        <f t="shared" si="0"/>
        <v>0</v>
      </c>
      <c r="G21" s="174">
        <f t="shared" si="0"/>
        <v>3550.0000000000005</v>
      </c>
      <c r="H21" s="88">
        <f t="shared" si="1"/>
        <v>9.9769643303886033E-2</v>
      </c>
    </row>
    <row r="22" spans="1:9" ht="15" thickBot="1" x14ac:dyDescent="0.35">
      <c r="A22" s="86" t="s">
        <v>88</v>
      </c>
      <c r="B22" s="87">
        <f t="shared" si="0"/>
        <v>0</v>
      </c>
      <c r="C22" s="87">
        <f t="shared" si="0"/>
        <v>3935.6755200000002</v>
      </c>
      <c r="D22" s="87">
        <f t="shared" si="0"/>
        <v>0</v>
      </c>
      <c r="E22" s="87">
        <f t="shared" si="0"/>
        <v>0</v>
      </c>
      <c r="F22" s="87">
        <f t="shared" si="0"/>
        <v>0</v>
      </c>
      <c r="G22" s="87">
        <f t="shared" si="0"/>
        <v>3935.6755200000002</v>
      </c>
      <c r="H22" s="88">
        <f t="shared" si="1"/>
        <v>0.11060871627893977</v>
      </c>
    </row>
    <row r="23" spans="1:9" ht="15" thickBot="1" x14ac:dyDescent="0.35">
      <c r="A23" s="83" t="s">
        <v>71</v>
      </c>
      <c r="B23" s="84">
        <f t="shared" si="0"/>
        <v>13479.659920000002</v>
      </c>
      <c r="C23" s="84">
        <f t="shared" si="0"/>
        <v>7485.6755200000007</v>
      </c>
      <c r="D23" s="84">
        <f t="shared" si="0"/>
        <v>3011.51</v>
      </c>
      <c r="E23" s="84">
        <f t="shared" si="0"/>
        <v>5094.4000000000005</v>
      </c>
      <c r="F23" s="84">
        <f t="shared" si="0"/>
        <v>6510.72</v>
      </c>
      <c r="G23" s="85">
        <f t="shared" si="0"/>
        <v>35581.96544</v>
      </c>
    </row>
    <row r="24" spans="1:9" ht="15" thickTop="1" x14ac:dyDescent="0.3">
      <c r="B24" s="76"/>
      <c r="C24" s="76"/>
      <c r="D24" s="76"/>
      <c r="E24" s="76"/>
      <c r="F24" s="76"/>
    </row>
  </sheetData>
  <mergeCells count="1">
    <mergeCell ref="H3:H4"/>
  </mergeCell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02F99-164F-4F89-8F8C-507052B5116D}">
  <sheetPr filterMode="1"/>
  <dimension ref="A1:AD86"/>
  <sheetViews>
    <sheetView tabSelected="1" zoomScale="77" zoomScaleNormal="85" workbookViewId="0">
      <pane xSplit="3" ySplit="3" topLeftCell="D24" activePane="bottomRight" state="frozen"/>
      <selection pane="topRight" activeCell="D1" sqref="D1"/>
      <selection pane="bottomLeft" activeCell="A4" sqref="A4"/>
      <selection pane="bottomRight" activeCell="G73" sqref="G73"/>
    </sheetView>
  </sheetViews>
  <sheetFormatPr defaultColWidth="8.6640625" defaultRowHeight="13.5" customHeight="1" outlineLevelCol="1" x14ac:dyDescent="0.3"/>
  <cols>
    <col min="1" max="1" width="29.33203125" style="6" customWidth="1"/>
    <col min="2" max="2" width="14.6640625" style="6" bestFit="1" customWidth="1"/>
    <col min="3" max="3" width="22.6640625" style="6" customWidth="1"/>
    <col min="4" max="4" width="25.109375" style="6" customWidth="1"/>
    <col min="5" max="5" width="16.33203125" style="12" bestFit="1" customWidth="1"/>
    <col min="6" max="6" width="21.77734375" style="12" bestFit="1" customWidth="1"/>
    <col min="7" max="7" width="31.88671875" style="6" bestFit="1" customWidth="1"/>
    <col min="8" max="8" width="20.6640625" style="279" customWidth="1"/>
    <col min="9" max="9" width="47.109375" style="6" bestFit="1" customWidth="1"/>
    <col min="10" max="10" width="22.88671875" style="6" customWidth="1" outlineLevel="1"/>
    <col min="11" max="11" width="11.6640625" style="213" customWidth="1" outlineLevel="1"/>
    <col min="12" max="12" width="14.44140625" style="199" customWidth="1" outlineLevel="1"/>
    <col min="13" max="13" width="10.6640625" style="6" customWidth="1" outlineLevel="1"/>
    <col min="14" max="14" width="25.5546875" style="199" bestFit="1" customWidth="1" outlineLevel="1"/>
    <col min="15" max="15" width="29.33203125" style="199" hidden="1" customWidth="1" outlineLevel="1"/>
    <col min="16" max="16" width="13.33203125" style="299" bestFit="1" customWidth="1" outlineLevel="1"/>
    <col min="17" max="17" width="12.109375" style="6" bestFit="1" customWidth="1"/>
    <col min="18" max="18" width="20" style="330" bestFit="1" customWidth="1"/>
    <col min="19" max="19" width="17.33203125" style="6" bestFit="1" customWidth="1"/>
    <col min="20" max="20" width="28.44140625" style="6" customWidth="1"/>
    <col min="21" max="21" width="14.44140625" style="6" bestFit="1" customWidth="1"/>
    <col min="22" max="22" width="18" style="209" customWidth="1"/>
    <col min="23" max="23" width="20.33203125" style="209" bestFit="1" customWidth="1"/>
    <col min="24" max="24" width="19.6640625" style="6" customWidth="1"/>
    <col min="25" max="27" width="8.6640625" style="6"/>
    <col min="28" max="28" width="13.5546875" style="216" bestFit="1" customWidth="1"/>
    <col min="29" max="29" width="17.109375" style="6" bestFit="1" customWidth="1"/>
    <col min="30" max="30" width="16.109375" style="6" bestFit="1" customWidth="1"/>
    <col min="31" max="16384" width="8.6640625" style="6"/>
  </cols>
  <sheetData>
    <row r="1" spans="1:30" ht="13.95" customHeight="1" thickBot="1" x14ac:dyDescent="0.35">
      <c r="A1" s="107" t="s">
        <v>0</v>
      </c>
      <c r="F1" s="292"/>
      <c r="H1" s="380" t="s">
        <v>164</v>
      </c>
      <c r="I1" s="381"/>
      <c r="J1" s="381"/>
      <c r="K1" s="381"/>
      <c r="L1" s="382"/>
      <c r="Q1" s="306" t="s">
        <v>165</v>
      </c>
      <c r="R1" s="405"/>
      <c r="S1" s="405"/>
      <c r="T1" s="405"/>
    </row>
    <row r="2" spans="1:30" ht="14.4" thickBot="1" x14ac:dyDescent="0.35">
      <c r="A2" s="8" t="s">
        <v>1</v>
      </c>
      <c r="C2" s="217">
        <f>SUBTOTAL(9,C4:C56)</f>
        <v>2471815143</v>
      </c>
      <c r="D2" s="217">
        <f>SUBTOTAL(9,D4:D56)</f>
        <v>2743714808</v>
      </c>
      <c r="E2" s="217"/>
      <c r="F2" s="217"/>
      <c r="I2" s="217">
        <f>SUBTOTAL(9,I4:I62)</f>
        <v>1468301143</v>
      </c>
      <c r="J2" s="217">
        <f>SUBTOTAL(9,J4:J62)</f>
        <v>1629814268</v>
      </c>
      <c r="R2" s="405"/>
      <c r="S2" s="405"/>
      <c r="T2" s="405"/>
      <c r="V2" s="209">
        <f>SUBTOTAL(9,V4:V29)</f>
        <v>1390858543</v>
      </c>
      <c r="W2" s="209">
        <v>228928061.37</v>
      </c>
    </row>
    <row r="3" spans="1:30" ht="42" thickBot="1" x14ac:dyDescent="0.35">
      <c r="A3" s="108" t="s">
        <v>2</v>
      </c>
      <c r="B3" s="109" t="s">
        <v>3</v>
      </c>
      <c r="C3" s="110" t="s">
        <v>4</v>
      </c>
      <c r="D3" s="110" t="s">
        <v>5</v>
      </c>
      <c r="E3" s="111" t="s">
        <v>6</v>
      </c>
      <c r="F3" s="218" t="s">
        <v>166</v>
      </c>
      <c r="G3" s="111" t="s">
        <v>7</v>
      </c>
      <c r="H3" s="280" t="s">
        <v>167</v>
      </c>
      <c r="I3" s="110" t="s">
        <v>8</v>
      </c>
      <c r="J3" s="110" t="s">
        <v>9</v>
      </c>
      <c r="K3" s="214" t="s">
        <v>10</v>
      </c>
      <c r="L3" s="112" t="s">
        <v>11</v>
      </c>
      <c r="M3" s="110" t="s">
        <v>447</v>
      </c>
      <c r="N3" s="113" t="s">
        <v>13</v>
      </c>
      <c r="O3" s="112" t="s">
        <v>14</v>
      </c>
      <c r="P3" s="300" t="s">
        <v>15</v>
      </c>
      <c r="Q3" s="109" t="s">
        <v>16</v>
      </c>
      <c r="R3" s="329" t="s">
        <v>419</v>
      </c>
      <c r="S3" s="305" t="s">
        <v>390</v>
      </c>
      <c r="T3" s="305" t="s">
        <v>423</v>
      </c>
      <c r="V3" s="219" t="s">
        <v>168</v>
      </c>
      <c r="W3" s="219" t="s">
        <v>169</v>
      </c>
      <c r="X3" s="220" t="s">
        <v>170</v>
      </c>
      <c r="AB3" s="216" t="s">
        <v>236</v>
      </c>
    </row>
    <row r="4" spans="1:30" ht="13.8" x14ac:dyDescent="0.3">
      <c r="A4" s="251" t="s">
        <v>229</v>
      </c>
      <c r="B4" s="246" t="s">
        <v>19</v>
      </c>
      <c r="C4" s="247">
        <v>216268594</v>
      </c>
      <c r="D4" s="211">
        <f>MROUND((C4*1.11),1)</f>
        <v>240058139</v>
      </c>
      <c r="E4" s="255">
        <v>45945</v>
      </c>
      <c r="F4" s="255">
        <v>46082</v>
      </c>
      <c r="G4" s="253" t="s">
        <v>342</v>
      </c>
      <c r="H4" s="281">
        <v>46082</v>
      </c>
      <c r="I4" s="249">
        <f t="shared" ref="I4:I5" si="0">IF($Q4 = "Closed (Billed)",$C4,"")</f>
        <v>216268594</v>
      </c>
      <c r="J4" s="249">
        <f>IF($Q4 = "Closed (Billed)",$D4,"")</f>
        <v>240058139</v>
      </c>
      <c r="K4" s="250">
        <v>46105</v>
      </c>
      <c r="L4" s="246" t="s">
        <v>429</v>
      </c>
      <c r="M4" s="252" t="s">
        <v>240</v>
      </c>
      <c r="N4" s="246" t="s">
        <v>241</v>
      </c>
      <c r="O4" s="246" t="s">
        <v>242</v>
      </c>
      <c r="P4" s="301" t="s">
        <v>243</v>
      </c>
      <c r="Q4" s="246" t="s">
        <v>26</v>
      </c>
      <c r="R4" s="326">
        <v>7870</v>
      </c>
      <c r="S4" s="246" t="s">
        <v>401</v>
      </c>
      <c r="T4" s="246" t="s">
        <v>242</v>
      </c>
      <c r="U4" s="222"/>
      <c r="V4" s="222">
        <f t="shared" ref="V4:V34" si="1">I4</f>
        <v>216268594</v>
      </c>
      <c r="W4" s="209">
        <v>64240033</v>
      </c>
      <c r="X4" s="6" t="s">
        <v>171</v>
      </c>
      <c r="AB4" s="216">
        <v>2510010033</v>
      </c>
      <c r="AC4" s="217">
        <f>VLOOKUP(AB4,[1]Sheet3!B$2:C$78,2,0)</f>
        <v>64240033</v>
      </c>
      <c r="AD4" s="223">
        <f>W4-AC4</f>
        <v>0</v>
      </c>
    </row>
    <row r="5" spans="1:30" ht="13.8" x14ac:dyDescent="0.3">
      <c r="A5" s="383" t="s">
        <v>244</v>
      </c>
      <c r="B5" s="385" t="s">
        <v>19</v>
      </c>
      <c r="C5" s="387">
        <v>267200000</v>
      </c>
      <c r="D5" s="389">
        <f>MROUND((C5*1.11),1)</f>
        <v>296592000</v>
      </c>
      <c r="E5" s="391">
        <v>45960</v>
      </c>
      <c r="F5" s="312">
        <v>46113</v>
      </c>
      <c r="G5" s="385" t="s">
        <v>245</v>
      </c>
      <c r="H5" s="393">
        <v>46174</v>
      </c>
      <c r="I5" s="395">
        <f t="shared" si="0"/>
        <v>267200000</v>
      </c>
      <c r="J5" s="395">
        <f t="shared" ref="J5:J56" si="2">IF($Q5 = "Closed (Billed)",$D5,"")</f>
        <v>296592000</v>
      </c>
      <c r="K5" s="397">
        <v>46183</v>
      </c>
      <c r="L5" s="399" t="s">
        <v>559</v>
      </c>
      <c r="M5" s="246" t="s">
        <v>246</v>
      </c>
      <c r="N5" s="246" t="s">
        <v>247</v>
      </c>
      <c r="O5" s="246" t="s">
        <v>105</v>
      </c>
      <c r="P5" s="301" t="s">
        <v>243</v>
      </c>
      <c r="Q5" s="385" t="s">
        <v>26</v>
      </c>
      <c r="R5" s="327">
        <v>5972.76</v>
      </c>
      <c r="S5" s="275" t="s">
        <v>401</v>
      </c>
      <c r="T5" s="260" t="s">
        <v>420</v>
      </c>
      <c r="V5" s="222">
        <f t="shared" si="1"/>
        <v>267200000</v>
      </c>
      <c r="X5" s="208"/>
      <c r="AB5" s="216">
        <v>2511010034</v>
      </c>
      <c r="AC5" s="217">
        <f>VLOOKUP(AB5,[1]Sheet3!B$2:C$78,2,0)</f>
        <v>-201330185.65000001</v>
      </c>
      <c r="AD5" s="223">
        <f t="shared" ref="AD5:AD48" si="3">W5-AC5</f>
        <v>201330185.65000001</v>
      </c>
    </row>
    <row r="6" spans="1:30" ht="13.8" x14ac:dyDescent="0.3">
      <c r="A6" s="384"/>
      <c r="B6" s="386"/>
      <c r="C6" s="388"/>
      <c r="D6" s="390"/>
      <c r="E6" s="392"/>
      <c r="F6" s="313">
        <v>46113</v>
      </c>
      <c r="G6" s="386"/>
      <c r="H6" s="394"/>
      <c r="I6" s="396"/>
      <c r="J6" s="396"/>
      <c r="K6" s="398"/>
      <c r="L6" s="400"/>
      <c r="M6" s="246" t="s">
        <v>53</v>
      </c>
      <c r="N6" s="246" t="s">
        <v>323</v>
      </c>
      <c r="O6" s="246" t="s">
        <v>319</v>
      </c>
      <c r="P6" s="246" t="s">
        <v>320</v>
      </c>
      <c r="Q6" s="386"/>
      <c r="R6" s="327">
        <v>3736</v>
      </c>
      <c r="S6" s="275" t="s">
        <v>401</v>
      </c>
      <c r="T6" s="246" t="s">
        <v>319</v>
      </c>
      <c r="V6" s="222">
        <f t="shared" si="1"/>
        <v>0</v>
      </c>
      <c r="X6" s="208"/>
      <c r="AC6" s="217" t="e">
        <f>VLOOKUP(AB6,[1]Sheet3!B$2:C$78,2,0)</f>
        <v>#N/A</v>
      </c>
      <c r="AD6" s="223"/>
    </row>
    <row r="7" spans="1:30" ht="13.8" x14ac:dyDescent="0.3">
      <c r="A7" s="254" t="s">
        <v>372</v>
      </c>
      <c r="B7" s="275" t="s">
        <v>19</v>
      </c>
      <c r="C7" s="276">
        <v>81120000</v>
      </c>
      <c r="D7" s="211">
        <f>MROUND((C7*1.11),1)</f>
        <v>90043200</v>
      </c>
      <c r="E7" s="277">
        <v>45968</v>
      </c>
      <c r="F7" s="281">
        <v>46023</v>
      </c>
      <c r="G7" s="278" t="s">
        <v>248</v>
      </c>
      <c r="H7" s="281">
        <v>46023</v>
      </c>
      <c r="I7" s="249">
        <f>IF($Q7 = "Closed (Billed)",$C7,"")</f>
        <v>81120000</v>
      </c>
      <c r="J7" s="249">
        <f t="shared" si="2"/>
        <v>90043200</v>
      </c>
      <c r="K7" s="250">
        <v>46030</v>
      </c>
      <c r="L7" s="246" t="s">
        <v>349</v>
      </c>
      <c r="M7" s="246" t="s">
        <v>53</v>
      </c>
      <c r="N7" s="246" t="s">
        <v>249</v>
      </c>
      <c r="O7" s="246" t="s">
        <v>92</v>
      </c>
      <c r="P7" s="246" t="s">
        <v>93</v>
      </c>
      <c r="Q7" s="246" t="s">
        <v>26</v>
      </c>
      <c r="R7" s="326"/>
      <c r="S7" s="246"/>
      <c r="T7" s="246"/>
      <c r="V7" s="222">
        <f t="shared" si="1"/>
        <v>81120000</v>
      </c>
      <c r="W7" s="209">
        <v>14251403.5</v>
      </c>
      <c r="X7" s="6" t="s">
        <v>171</v>
      </c>
      <c r="AB7" s="216">
        <v>2511010036</v>
      </c>
      <c r="AC7" s="217">
        <f>VLOOKUP(AB7,[1]Sheet3!B$2:C$78,2,0)</f>
        <v>14251403.5</v>
      </c>
      <c r="AD7" s="223">
        <f t="shared" si="3"/>
        <v>0</v>
      </c>
    </row>
    <row r="8" spans="1:30" ht="13.8" x14ac:dyDescent="0.3">
      <c r="A8" s="254" t="s">
        <v>250</v>
      </c>
      <c r="B8" s="246" t="s">
        <v>19</v>
      </c>
      <c r="C8" s="247">
        <v>14886000</v>
      </c>
      <c r="D8" s="211">
        <f t="shared" ref="D8:D53" si="4">MROUND((C8*1.11),1)</f>
        <v>16523460</v>
      </c>
      <c r="E8" s="255">
        <v>45972</v>
      </c>
      <c r="F8" s="281">
        <v>46113</v>
      </c>
      <c r="G8" s="253" t="s">
        <v>251</v>
      </c>
      <c r="H8" s="281">
        <v>46174</v>
      </c>
      <c r="I8" s="249">
        <f t="shared" ref="I8:I56" si="5">IF($Q8 = "Closed (Billed)",$C8,"")</f>
        <v>14886000</v>
      </c>
      <c r="J8" s="249">
        <f t="shared" si="2"/>
        <v>16523460</v>
      </c>
      <c r="K8" s="250">
        <v>46178</v>
      </c>
      <c r="L8" s="246" t="s">
        <v>558</v>
      </c>
      <c r="M8" s="246" t="s">
        <v>53</v>
      </c>
      <c r="N8" s="246" t="s">
        <v>252</v>
      </c>
      <c r="O8" s="246" t="s">
        <v>253</v>
      </c>
      <c r="P8" s="301" t="s">
        <v>254</v>
      </c>
      <c r="Q8" s="246" t="s">
        <v>26</v>
      </c>
      <c r="R8" s="326">
        <v>5435.23</v>
      </c>
      <c r="S8" s="246" t="s">
        <v>401</v>
      </c>
      <c r="T8" s="246" t="s">
        <v>253</v>
      </c>
      <c r="V8" s="222">
        <f t="shared" si="1"/>
        <v>14886000</v>
      </c>
      <c r="X8" s="208"/>
      <c r="AB8" s="216">
        <v>2511010035</v>
      </c>
      <c r="AC8" s="217">
        <f>VLOOKUP(AB8,[1]Sheet3!B$2:C$78,2,0)</f>
        <v>-14913022</v>
      </c>
      <c r="AD8" s="223">
        <f t="shared" si="3"/>
        <v>14913022</v>
      </c>
    </row>
    <row r="9" spans="1:30" ht="13.8" x14ac:dyDescent="0.3">
      <c r="A9" s="254" t="s">
        <v>255</v>
      </c>
      <c r="B9" s="246" t="s">
        <v>19</v>
      </c>
      <c r="C9" s="247">
        <v>108274310</v>
      </c>
      <c r="D9" s="211">
        <f t="shared" si="4"/>
        <v>120184484</v>
      </c>
      <c r="E9" s="255">
        <v>45973</v>
      </c>
      <c r="F9" s="281">
        <v>46023</v>
      </c>
      <c r="G9" s="246" t="s">
        <v>235</v>
      </c>
      <c r="H9" s="281">
        <v>46023</v>
      </c>
      <c r="I9" s="249">
        <f t="shared" si="5"/>
        <v>108274310</v>
      </c>
      <c r="J9" s="249">
        <f t="shared" si="2"/>
        <v>120184484</v>
      </c>
      <c r="K9" s="250">
        <v>46029</v>
      </c>
      <c r="L9" s="352" t="s">
        <v>346</v>
      </c>
      <c r="M9" s="246" t="s">
        <v>53</v>
      </c>
      <c r="N9" s="246" t="s">
        <v>256</v>
      </c>
      <c r="O9" s="246" t="s">
        <v>257</v>
      </c>
      <c r="P9" s="246" t="s">
        <v>243</v>
      </c>
      <c r="Q9" s="246" t="s">
        <v>26</v>
      </c>
      <c r="R9" s="326"/>
      <c r="S9" s="246"/>
      <c r="T9" s="246"/>
      <c r="V9" s="222">
        <f t="shared" si="1"/>
        <v>108274310</v>
      </c>
      <c r="W9" s="209">
        <v>32305920</v>
      </c>
      <c r="X9" s="6" t="s">
        <v>171</v>
      </c>
      <c r="AB9" s="216">
        <v>2511010037</v>
      </c>
      <c r="AC9" s="217">
        <f>VLOOKUP(AB9,[1]Sheet3!B$2:C$78,2,0)</f>
        <v>32305920</v>
      </c>
      <c r="AD9" s="223">
        <f t="shared" si="3"/>
        <v>0</v>
      </c>
    </row>
    <row r="10" spans="1:30" ht="13.8" x14ac:dyDescent="0.3">
      <c r="A10" s="254" t="s">
        <v>258</v>
      </c>
      <c r="B10" s="246" t="s">
        <v>259</v>
      </c>
      <c r="C10" s="247">
        <v>147957000</v>
      </c>
      <c r="D10" s="211">
        <f t="shared" si="4"/>
        <v>164232270</v>
      </c>
      <c r="E10" s="255">
        <v>45975</v>
      </c>
      <c r="F10" s="281">
        <v>46113</v>
      </c>
      <c r="G10" s="253" t="s">
        <v>260</v>
      </c>
      <c r="H10" s="281">
        <v>46113</v>
      </c>
      <c r="I10" s="249">
        <f t="shared" si="5"/>
        <v>147957000</v>
      </c>
      <c r="J10" s="249">
        <f t="shared" si="2"/>
        <v>164232270</v>
      </c>
      <c r="K10" s="250">
        <v>46142</v>
      </c>
      <c r="L10" s="246" t="s">
        <v>484</v>
      </c>
      <c r="M10" s="252" t="s">
        <v>261</v>
      </c>
      <c r="N10" s="252" t="s">
        <v>262</v>
      </c>
      <c r="O10" s="252" t="s">
        <v>242</v>
      </c>
      <c r="P10" s="252" t="s">
        <v>87</v>
      </c>
      <c r="Q10" s="246" t="s">
        <v>26</v>
      </c>
      <c r="R10" s="401">
        <v>10908</v>
      </c>
      <c r="S10" s="399" t="s">
        <v>401</v>
      </c>
      <c r="T10" s="403" t="s">
        <v>242</v>
      </c>
      <c r="V10" s="222">
        <f t="shared" si="1"/>
        <v>147957000</v>
      </c>
      <c r="W10" s="209">
        <v>43227941</v>
      </c>
      <c r="X10" s="6" t="s">
        <v>171</v>
      </c>
      <c r="AB10" s="216">
        <v>2511010041</v>
      </c>
      <c r="AC10" s="217">
        <f>VLOOKUP(AB10,[1]Sheet3!B$2:C$78,2,0)</f>
        <v>43227941</v>
      </c>
      <c r="AD10" s="223">
        <f t="shared" si="3"/>
        <v>0</v>
      </c>
    </row>
    <row r="11" spans="1:30" ht="13.8" x14ac:dyDescent="0.3">
      <c r="A11" s="254" t="s">
        <v>258</v>
      </c>
      <c r="B11" s="246" t="s">
        <v>259</v>
      </c>
      <c r="C11" s="247">
        <v>147957000</v>
      </c>
      <c r="D11" s="211">
        <f t="shared" si="4"/>
        <v>164232270</v>
      </c>
      <c r="E11" s="255">
        <v>45975</v>
      </c>
      <c r="F11" s="255">
        <v>46082</v>
      </c>
      <c r="G11" s="253" t="s">
        <v>263</v>
      </c>
      <c r="H11" s="281">
        <v>46082</v>
      </c>
      <c r="I11" s="249">
        <f t="shared" si="5"/>
        <v>147957000</v>
      </c>
      <c r="J11" s="249">
        <f t="shared" si="2"/>
        <v>164232270</v>
      </c>
      <c r="K11" s="250">
        <v>46097</v>
      </c>
      <c r="L11" s="246" t="s">
        <v>427</v>
      </c>
      <c r="M11" s="252" t="s">
        <v>261</v>
      </c>
      <c r="N11" s="252" t="s">
        <v>262</v>
      </c>
      <c r="O11" s="252" t="s">
        <v>242</v>
      </c>
      <c r="P11" s="252" t="s">
        <v>87</v>
      </c>
      <c r="Q11" s="246" t="s">
        <v>26</v>
      </c>
      <c r="R11" s="402"/>
      <c r="S11" s="400"/>
      <c r="T11" s="404"/>
      <c r="V11" s="222">
        <f t="shared" si="1"/>
        <v>147957000</v>
      </c>
      <c r="W11" s="209">
        <v>43227942</v>
      </c>
      <c r="X11" s="6" t="s">
        <v>171</v>
      </c>
      <c r="AB11" s="216">
        <v>2511010038</v>
      </c>
      <c r="AC11" s="217">
        <f>VLOOKUP(AB11,[1]Sheet3!B$2:C$78,2,0)</f>
        <v>43227942</v>
      </c>
      <c r="AD11" s="223">
        <f t="shared" si="3"/>
        <v>0</v>
      </c>
    </row>
    <row r="12" spans="1:30" ht="13.8" x14ac:dyDescent="0.3">
      <c r="A12" s="254" t="s">
        <v>264</v>
      </c>
      <c r="B12" s="246" t="s">
        <v>19</v>
      </c>
      <c r="C12" s="247">
        <v>56813124</v>
      </c>
      <c r="D12" s="211">
        <f t="shared" si="4"/>
        <v>63062568</v>
      </c>
      <c r="E12" s="255">
        <v>45981</v>
      </c>
      <c r="F12" s="281">
        <v>46113</v>
      </c>
      <c r="G12" s="253" t="s">
        <v>265</v>
      </c>
      <c r="H12" s="281">
        <v>46174</v>
      </c>
      <c r="I12" s="249">
        <f t="shared" si="5"/>
        <v>56813124</v>
      </c>
      <c r="J12" s="249">
        <f t="shared" si="2"/>
        <v>63062568</v>
      </c>
      <c r="K12" s="250">
        <v>46178</v>
      </c>
      <c r="L12" s="246" t="s">
        <v>557</v>
      </c>
      <c r="M12" s="246" t="s">
        <v>266</v>
      </c>
      <c r="N12" s="246" t="s">
        <v>267</v>
      </c>
      <c r="O12" s="246" t="s">
        <v>268</v>
      </c>
      <c r="P12" s="301" t="s">
        <v>269</v>
      </c>
      <c r="Q12" s="246" t="s">
        <v>26</v>
      </c>
      <c r="R12" s="326">
        <v>2205</v>
      </c>
      <c r="S12" s="246" t="s">
        <v>401</v>
      </c>
      <c r="T12" s="260" t="s">
        <v>420</v>
      </c>
      <c r="V12" s="222">
        <f t="shared" si="1"/>
        <v>56813124</v>
      </c>
      <c r="X12" s="208"/>
      <c r="AB12" s="216">
        <v>2512010043</v>
      </c>
      <c r="AC12" s="217">
        <f>VLOOKUP(AB12,[1]Sheet3!B$2:C$78,2,0)</f>
        <v>-37732687.5</v>
      </c>
      <c r="AD12" s="223">
        <f t="shared" si="3"/>
        <v>37732687.5</v>
      </c>
    </row>
    <row r="13" spans="1:30" ht="13.8" x14ac:dyDescent="0.3">
      <c r="A13" s="254" t="s">
        <v>270</v>
      </c>
      <c r="B13" s="246" t="s">
        <v>19</v>
      </c>
      <c r="C13" s="247">
        <v>12815875</v>
      </c>
      <c r="D13" s="211">
        <f t="shared" si="4"/>
        <v>14225621</v>
      </c>
      <c r="E13" s="255">
        <v>45985</v>
      </c>
      <c r="F13" s="281">
        <v>46023</v>
      </c>
      <c r="G13" s="246" t="s">
        <v>271</v>
      </c>
      <c r="H13" s="281">
        <v>46023</v>
      </c>
      <c r="I13" s="249">
        <f t="shared" si="5"/>
        <v>12815875</v>
      </c>
      <c r="J13" s="249">
        <f t="shared" si="2"/>
        <v>14225621</v>
      </c>
      <c r="K13" s="250">
        <v>46031</v>
      </c>
      <c r="L13" s="246" t="s">
        <v>350</v>
      </c>
      <c r="M13" s="246" t="s">
        <v>53</v>
      </c>
      <c r="N13" s="246" t="s">
        <v>272</v>
      </c>
      <c r="O13" s="246" t="s">
        <v>273</v>
      </c>
      <c r="P13" s="246" t="s">
        <v>93</v>
      </c>
      <c r="Q13" s="246" t="s">
        <v>26</v>
      </c>
      <c r="R13" s="326"/>
      <c r="S13" s="246"/>
      <c r="T13" s="246"/>
      <c r="V13" s="222">
        <f t="shared" si="1"/>
        <v>12815875</v>
      </c>
      <c r="W13" s="209">
        <v>6202647.5</v>
      </c>
      <c r="X13" s="6" t="s">
        <v>171</v>
      </c>
      <c r="AB13" s="216">
        <v>2511010040</v>
      </c>
      <c r="AC13" s="217">
        <f>VLOOKUP(AB13,[1]Sheet3!B$2:C$78,2,0)</f>
        <v>6202647.5</v>
      </c>
      <c r="AD13" s="223">
        <f t="shared" si="3"/>
        <v>0</v>
      </c>
    </row>
    <row r="14" spans="1:30" ht="13.8" x14ac:dyDescent="0.3">
      <c r="A14" s="254" t="s">
        <v>274</v>
      </c>
      <c r="B14" s="246" t="s">
        <v>19</v>
      </c>
      <c r="C14" s="247">
        <v>5000000</v>
      </c>
      <c r="D14" s="211">
        <f t="shared" si="4"/>
        <v>5550000</v>
      </c>
      <c r="E14" s="255">
        <v>45985</v>
      </c>
      <c r="F14" s="255">
        <v>46082</v>
      </c>
      <c r="G14" s="253" t="s">
        <v>275</v>
      </c>
      <c r="H14" s="281">
        <v>46082</v>
      </c>
      <c r="I14" s="249">
        <f t="shared" si="5"/>
        <v>5000000</v>
      </c>
      <c r="J14" s="249">
        <f t="shared" si="2"/>
        <v>5550000</v>
      </c>
      <c r="K14" s="250">
        <v>46108</v>
      </c>
      <c r="L14" s="246" t="s">
        <v>426</v>
      </c>
      <c r="M14" s="246" t="s">
        <v>53</v>
      </c>
      <c r="N14" s="246" t="s">
        <v>252</v>
      </c>
      <c r="O14" s="246" t="s">
        <v>253</v>
      </c>
      <c r="P14" s="301" t="s">
        <v>254</v>
      </c>
      <c r="Q14" s="246" t="s">
        <v>26</v>
      </c>
      <c r="R14" s="326">
        <v>4879.5</v>
      </c>
      <c r="S14" s="246" t="s">
        <v>401</v>
      </c>
      <c r="T14" s="246" t="s">
        <v>253</v>
      </c>
      <c r="V14" s="222">
        <f t="shared" si="1"/>
        <v>5000000</v>
      </c>
      <c r="W14" s="225">
        <v>-7613541</v>
      </c>
      <c r="X14" s="6" t="s">
        <v>171</v>
      </c>
      <c r="AB14" s="216">
        <v>2512010042</v>
      </c>
      <c r="AC14" s="217">
        <f>VLOOKUP(AB14,[1]Sheet3!B$2:C$78,2,0)</f>
        <v>-7613541</v>
      </c>
      <c r="AD14" s="223">
        <f t="shared" si="3"/>
        <v>0</v>
      </c>
    </row>
    <row r="15" spans="1:30" ht="13.8" x14ac:dyDescent="0.3">
      <c r="A15" s="254" t="s">
        <v>276</v>
      </c>
      <c r="B15" s="246" t="s">
        <v>259</v>
      </c>
      <c r="C15" s="247">
        <v>61963200</v>
      </c>
      <c r="D15" s="211">
        <f t="shared" si="4"/>
        <v>68779152</v>
      </c>
      <c r="E15" s="255">
        <v>45999</v>
      </c>
      <c r="F15" s="255">
        <v>46082</v>
      </c>
      <c r="G15" s="253" t="s">
        <v>277</v>
      </c>
      <c r="H15" s="281">
        <v>46082</v>
      </c>
      <c r="I15" s="249">
        <f t="shared" si="5"/>
        <v>61963200</v>
      </c>
      <c r="J15" s="249">
        <f t="shared" si="2"/>
        <v>68779152</v>
      </c>
      <c r="K15" s="250">
        <v>46097</v>
      </c>
      <c r="L15" s="246" t="s">
        <v>425</v>
      </c>
      <c r="M15" s="246" t="s">
        <v>53</v>
      </c>
      <c r="N15" s="246" t="s">
        <v>278</v>
      </c>
      <c r="O15" s="246" t="s">
        <v>279</v>
      </c>
      <c r="P15" s="301" t="s">
        <v>280</v>
      </c>
      <c r="Q15" s="246" t="s">
        <v>26</v>
      </c>
      <c r="R15" s="326">
        <v>2064.9499999999998</v>
      </c>
      <c r="S15" s="246" t="s">
        <v>401</v>
      </c>
      <c r="T15" s="246" t="s">
        <v>279</v>
      </c>
      <c r="V15" s="222">
        <f t="shared" si="1"/>
        <v>61963200</v>
      </c>
      <c r="W15" s="209">
        <v>19821230.370000001</v>
      </c>
      <c r="X15" s="6" t="s">
        <v>171</v>
      </c>
      <c r="AB15" s="216">
        <v>2512010044</v>
      </c>
      <c r="AC15" s="217">
        <f>VLOOKUP(AB15,[1]Sheet3!B$2:C$78,2,0)</f>
        <v>19821230.370000001</v>
      </c>
      <c r="AD15" s="223">
        <f t="shared" si="3"/>
        <v>0</v>
      </c>
    </row>
    <row r="16" spans="1:30" ht="13.8" x14ac:dyDescent="0.3">
      <c r="A16" s="254" t="s">
        <v>281</v>
      </c>
      <c r="B16" s="246" t="s">
        <v>19</v>
      </c>
      <c r="C16" s="247">
        <v>13500000</v>
      </c>
      <c r="D16" s="211">
        <f t="shared" si="4"/>
        <v>14985000</v>
      </c>
      <c r="E16" s="255">
        <v>46001</v>
      </c>
      <c r="F16" s="281">
        <v>46113</v>
      </c>
      <c r="G16" s="253" t="s">
        <v>282</v>
      </c>
      <c r="H16" s="281">
        <v>46113</v>
      </c>
      <c r="I16" s="249">
        <f t="shared" si="5"/>
        <v>13500000</v>
      </c>
      <c r="J16" s="249">
        <f t="shared" si="2"/>
        <v>14985000</v>
      </c>
      <c r="K16" s="250">
        <v>46125</v>
      </c>
      <c r="L16" s="246" t="s">
        <v>474</v>
      </c>
      <c r="M16" s="246" t="s">
        <v>53</v>
      </c>
      <c r="N16" s="246" t="s">
        <v>283</v>
      </c>
      <c r="O16" s="246" t="s">
        <v>284</v>
      </c>
      <c r="P16" s="301" t="s">
        <v>79</v>
      </c>
      <c r="Q16" s="246" t="s">
        <v>26</v>
      </c>
      <c r="R16" s="326">
        <v>7250000</v>
      </c>
      <c r="S16" s="246" t="s">
        <v>19</v>
      </c>
      <c r="T16" s="246" t="s">
        <v>284</v>
      </c>
      <c r="V16" s="222">
        <f t="shared" si="1"/>
        <v>13500000</v>
      </c>
      <c r="W16" s="209">
        <v>6250000</v>
      </c>
      <c r="X16" s="208" t="s">
        <v>489</v>
      </c>
      <c r="AB16" s="216">
        <v>2512010046</v>
      </c>
      <c r="AC16" s="217">
        <f>VLOOKUP(AB16,[1]Sheet3!B$2:C$78,2,0)</f>
        <v>6250000</v>
      </c>
      <c r="AD16" s="223">
        <f t="shared" si="3"/>
        <v>0</v>
      </c>
    </row>
    <row r="17" spans="1:30" ht="13.8" hidden="1" x14ac:dyDescent="0.3">
      <c r="A17" s="254" t="s">
        <v>285</v>
      </c>
      <c r="B17" s="246" t="s">
        <v>19</v>
      </c>
      <c r="C17" s="247">
        <v>3955000000</v>
      </c>
      <c r="D17" s="211">
        <f t="shared" si="4"/>
        <v>4390050000</v>
      </c>
      <c r="E17" s="255">
        <v>46010</v>
      </c>
      <c r="F17" s="255">
        <v>46356</v>
      </c>
      <c r="G17" s="246" t="s">
        <v>286</v>
      </c>
      <c r="H17" s="281"/>
      <c r="I17" s="249" t="str">
        <f t="shared" si="5"/>
        <v/>
      </c>
      <c r="J17" s="249" t="str">
        <f t="shared" si="2"/>
        <v/>
      </c>
      <c r="K17" s="250"/>
      <c r="L17" s="245"/>
      <c r="M17" s="246" t="s">
        <v>287</v>
      </c>
      <c r="N17" s="246" t="s">
        <v>288</v>
      </c>
      <c r="O17" s="246" t="s">
        <v>257</v>
      </c>
      <c r="P17" s="301" t="s">
        <v>87</v>
      </c>
      <c r="Q17" s="246" t="s">
        <v>41</v>
      </c>
      <c r="R17" s="326">
        <v>184210.53</v>
      </c>
      <c r="S17" s="246" t="s">
        <v>280</v>
      </c>
      <c r="T17" s="260" t="s">
        <v>420</v>
      </c>
      <c r="V17" s="222" t="str">
        <f t="shared" si="1"/>
        <v/>
      </c>
      <c r="X17" s="208"/>
      <c r="AB17" s="216">
        <v>2512010045</v>
      </c>
      <c r="AC17" s="217">
        <f>VLOOKUP(AB17,[1]Sheet3!B$2:C$78,2,0)</f>
        <v>-22626125</v>
      </c>
      <c r="AD17" s="223">
        <f t="shared" si="3"/>
        <v>22626125</v>
      </c>
    </row>
    <row r="18" spans="1:30" ht="13.8" x14ac:dyDescent="0.3">
      <c r="A18" s="259" t="s">
        <v>289</v>
      </c>
      <c r="B18" s="260" t="s">
        <v>19</v>
      </c>
      <c r="C18" s="261">
        <v>119652546</v>
      </c>
      <c r="D18" s="211">
        <f t="shared" si="4"/>
        <v>132814326</v>
      </c>
      <c r="E18" s="262">
        <v>46003</v>
      </c>
      <c r="F18" s="281">
        <v>46113</v>
      </c>
      <c r="G18" s="260" t="s">
        <v>290</v>
      </c>
      <c r="H18" s="282">
        <v>46143</v>
      </c>
      <c r="I18" s="249">
        <f t="shared" si="5"/>
        <v>119652546</v>
      </c>
      <c r="J18" s="249">
        <f t="shared" si="2"/>
        <v>132814326</v>
      </c>
      <c r="K18" s="263">
        <v>46148</v>
      </c>
      <c r="L18" s="360" t="s">
        <v>507</v>
      </c>
      <c r="M18" s="264" t="s">
        <v>365</v>
      </c>
      <c r="N18" s="260" t="s">
        <v>364</v>
      </c>
      <c r="O18" s="264" t="s">
        <v>324</v>
      </c>
      <c r="P18" s="302" t="s">
        <v>325</v>
      </c>
      <c r="Q18" s="260" t="s">
        <v>26</v>
      </c>
      <c r="R18" s="328">
        <v>3336.4</v>
      </c>
      <c r="S18" s="260" t="s">
        <v>280</v>
      </c>
      <c r="T18" s="260" t="s">
        <v>420</v>
      </c>
      <c r="V18" s="222">
        <f t="shared" si="1"/>
        <v>119652546</v>
      </c>
      <c r="W18" s="209">
        <v>40651549.75</v>
      </c>
      <c r="X18" s="6" t="s">
        <v>171</v>
      </c>
      <c r="AB18" s="216">
        <v>2512010047</v>
      </c>
      <c r="AC18" s="217">
        <f>VLOOKUP(AB18,[1]Sheet3!B$2:C$78,2,0)</f>
        <v>40651549.75</v>
      </c>
      <c r="AD18" s="223">
        <f t="shared" si="3"/>
        <v>0</v>
      </c>
    </row>
    <row r="19" spans="1:30" ht="13.8" x14ac:dyDescent="0.3">
      <c r="A19" s="125" t="s">
        <v>264</v>
      </c>
      <c r="B19" s="246" t="s">
        <v>19</v>
      </c>
      <c r="C19" s="211">
        <v>18937708</v>
      </c>
      <c r="D19" s="211">
        <f t="shared" si="4"/>
        <v>21020856</v>
      </c>
      <c r="E19" s="124">
        <v>46000</v>
      </c>
      <c r="F19" s="281">
        <v>46113</v>
      </c>
      <c r="G19" s="258" t="s">
        <v>315</v>
      </c>
      <c r="H19" s="221">
        <v>46143</v>
      </c>
      <c r="I19" s="249">
        <f t="shared" si="5"/>
        <v>18937708</v>
      </c>
      <c r="J19" s="249">
        <f t="shared" si="2"/>
        <v>21020856</v>
      </c>
      <c r="K19" s="215">
        <v>46162</v>
      </c>
      <c r="L19" s="358" t="s">
        <v>518</v>
      </c>
      <c r="M19" s="246" t="s">
        <v>321</v>
      </c>
      <c r="N19" s="246" t="s">
        <v>322</v>
      </c>
      <c r="O19" s="246" t="s">
        <v>268</v>
      </c>
      <c r="P19" s="128" t="s">
        <v>269</v>
      </c>
      <c r="Q19" s="246" t="s">
        <v>26</v>
      </c>
      <c r="R19" s="326">
        <v>2205</v>
      </c>
      <c r="S19" s="246" t="s">
        <v>401</v>
      </c>
      <c r="T19" s="260" t="s">
        <v>420</v>
      </c>
      <c r="U19" s="331"/>
      <c r="V19" s="222">
        <f t="shared" si="1"/>
        <v>18937708</v>
      </c>
      <c r="W19" s="209">
        <v>4633145.5</v>
      </c>
      <c r="X19" s="6" t="s">
        <v>171</v>
      </c>
      <c r="AB19" s="216">
        <v>2601010001</v>
      </c>
      <c r="AC19" s="217">
        <f>VLOOKUP(AB19,[1]Sheet3!B$2:C$78,2,0)</f>
        <v>4633145.5</v>
      </c>
      <c r="AD19" s="223">
        <f t="shared" si="3"/>
        <v>0</v>
      </c>
    </row>
    <row r="20" spans="1:30" ht="13.8" x14ac:dyDescent="0.3">
      <c r="A20" s="254" t="s">
        <v>316</v>
      </c>
      <c r="B20" s="246" t="s">
        <v>19</v>
      </c>
      <c r="C20" s="211">
        <v>163050000</v>
      </c>
      <c r="D20" s="211">
        <f t="shared" si="4"/>
        <v>180985500</v>
      </c>
      <c r="E20" s="124">
        <v>46024</v>
      </c>
      <c r="F20" s="312">
        <v>46113</v>
      </c>
      <c r="G20" s="119" t="s">
        <v>341</v>
      </c>
      <c r="H20" s="221"/>
      <c r="I20" s="249" t="str">
        <f t="shared" si="5"/>
        <v/>
      </c>
      <c r="J20" s="249" t="str">
        <f t="shared" si="2"/>
        <v/>
      </c>
      <c r="K20" s="215"/>
      <c r="L20" s="128"/>
      <c r="M20" s="128" t="s">
        <v>53</v>
      </c>
      <c r="N20" s="128" t="s">
        <v>318</v>
      </c>
      <c r="O20" s="128" t="s">
        <v>317</v>
      </c>
      <c r="P20" s="128" t="s">
        <v>79</v>
      </c>
      <c r="Q20" s="246" t="s">
        <v>41</v>
      </c>
      <c r="R20" s="326">
        <v>119235375</v>
      </c>
      <c r="S20" s="246" t="s">
        <v>19</v>
      </c>
      <c r="T20" s="128" t="s">
        <v>317</v>
      </c>
      <c r="U20" s="222"/>
      <c r="V20" s="222" t="str">
        <f t="shared" si="1"/>
        <v/>
      </c>
      <c r="X20" s="208"/>
      <c r="AB20" s="216">
        <v>2601010002</v>
      </c>
      <c r="AC20" s="217">
        <f>VLOOKUP(AB20,[1]Sheet3!B$2:C$78,2,0)</f>
        <v>-119235376</v>
      </c>
      <c r="AD20" s="223">
        <f t="shared" si="3"/>
        <v>119235376</v>
      </c>
    </row>
    <row r="21" spans="1:30" s="272" customFormat="1" ht="13.8" x14ac:dyDescent="0.3">
      <c r="A21" s="265" t="s">
        <v>88</v>
      </c>
      <c r="B21" s="266" t="s">
        <v>19</v>
      </c>
      <c r="C21" s="267">
        <v>10404786</v>
      </c>
      <c r="D21" s="211">
        <f t="shared" si="4"/>
        <v>11549312</v>
      </c>
      <c r="E21" s="268">
        <v>46036</v>
      </c>
      <c r="F21" s="255">
        <v>46082</v>
      </c>
      <c r="G21" s="274" t="s">
        <v>327</v>
      </c>
      <c r="H21" s="269">
        <v>46082</v>
      </c>
      <c r="I21" s="249">
        <f t="shared" si="5"/>
        <v>10404786</v>
      </c>
      <c r="J21" s="249">
        <f t="shared" si="2"/>
        <v>11549312</v>
      </c>
      <c r="K21" s="270">
        <v>46107</v>
      </c>
      <c r="L21" s="266" t="s">
        <v>430</v>
      </c>
      <c r="M21" s="266" t="s">
        <v>53</v>
      </c>
      <c r="N21" s="271" t="s">
        <v>326</v>
      </c>
      <c r="O21" s="271" t="s">
        <v>92</v>
      </c>
      <c r="P21" s="271" t="s">
        <v>93</v>
      </c>
      <c r="Q21" s="260" t="s">
        <v>26</v>
      </c>
      <c r="R21" s="328">
        <v>380</v>
      </c>
      <c r="S21" s="260" t="s">
        <v>401</v>
      </c>
      <c r="T21" s="271" t="s">
        <v>92</v>
      </c>
      <c r="U21" s="222"/>
      <c r="V21" s="222">
        <f t="shared" si="1"/>
        <v>10404786</v>
      </c>
      <c r="W21" s="209">
        <v>2821225</v>
      </c>
      <c r="X21" s="6" t="s">
        <v>171</v>
      </c>
      <c r="Y21" s="6"/>
      <c r="Z21" s="6"/>
      <c r="AA21" s="6"/>
      <c r="AB21" s="216">
        <v>2601010003</v>
      </c>
      <c r="AC21" s="217">
        <f>VLOOKUP(AB21,[1]Sheet3!B$2:C$78,2,0)</f>
        <v>2821225</v>
      </c>
      <c r="AD21" s="273">
        <f t="shared" si="3"/>
        <v>0</v>
      </c>
    </row>
    <row r="22" spans="1:30" ht="13.8" x14ac:dyDescent="0.3">
      <c r="A22" s="125" t="s">
        <v>328</v>
      </c>
      <c r="B22" s="266" t="s">
        <v>19</v>
      </c>
      <c r="C22" s="211">
        <v>22000000</v>
      </c>
      <c r="D22" s="211">
        <f t="shared" si="4"/>
        <v>24420000</v>
      </c>
      <c r="E22" s="124">
        <v>46037</v>
      </c>
      <c r="F22" s="281">
        <v>46113</v>
      </c>
      <c r="G22" s="119" t="s">
        <v>329</v>
      </c>
      <c r="H22" s="221">
        <v>46174</v>
      </c>
      <c r="I22" s="249">
        <f t="shared" si="5"/>
        <v>22000000</v>
      </c>
      <c r="J22" s="249">
        <f t="shared" si="2"/>
        <v>24420000</v>
      </c>
      <c r="K22" s="215">
        <v>46188</v>
      </c>
      <c r="L22" s="116" t="s">
        <v>561</v>
      </c>
      <c r="M22" s="116" t="s">
        <v>421</v>
      </c>
      <c r="N22" s="271" t="s">
        <v>330</v>
      </c>
      <c r="O22" s="116" t="s">
        <v>331</v>
      </c>
      <c r="P22" s="128" t="s">
        <v>87</v>
      </c>
      <c r="Q22" s="260" t="s">
        <v>26</v>
      </c>
      <c r="R22" s="328">
        <v>297.85000000000002</v>
      </c>
      <c r="S22" s="260" t="s">
        <v>280</v>
      </c>
      <c r="T22" s="260" t="s">
        <v>420</v>
      </c>
      <c r="U22" s="222"/>
      <c r="V22" s="222">
        <f t="shared" si="1"/>
        <v>22000000</v>
      </c>
      <c r="X22" s="208"/>
      <c r="AB22" s="216">
        <v>2601010004</v>
      </c>
      <c r="AC22" s="217">
        <f>VLOOKUP(AB22,[1]Sheet3!B$2:C$78,2,0)</f>
        <v>-11845711.939999999</v>
      </c>
      <c r="AD22" s="223">
        <f t="shared" si="3"/>
        <v>11845711.939999999</v>
      </c>
    </row>
    <row r="23" spans="1:30" ht="13.8" hidden="1" x14ac:dyDescent="0.3">
      <c r="A23" s="140" t="s">
        <v>332</v>
      </c>
      <c r="B23" s="266" t="s">
        <v>19</v>
      </c>
      <c r="C23" s="211">
        <v>928432000</v>
      </c>
      <c r="D23" s="211">
        <f t="shared" si="4"/>
        <v>1030559520</v>
      </c>
      <c r="E23" s="124">
        <v>46041</v>
      </c>
      <c r="F23" s="124">
        <v>46295</v>
      </c>
      <c r="G23" s="120" t="s">
        <v>336</v>
      </c>
      <c r="H23" s="221"/>
      <c r="I23" s="249" t="str">
        <f t="shared" si="5"/>
        <v/>
      </c>
      <c r="J23" s="249" t="str">
        <f t="shared" si="2"/>
        <v/>
      </c>
      <c r="K23" s="215"/>
      <c r="L23" s="128"/>
      <c r="M23" s="116" t="s">
        <v>362</v>
      </c>
      <c r="N23" s="271" t="s">
        <v>337</v>
      </c>
      <c r="O23" s="128" t="s">
        <v>338</v>
      </c>
      <c r="P23" s="128" t="s">
        <v>363</v>
      </c>
      <c r="Q23" s="260" t="s">
        <v>41</v>
      </c>
      <c r="R23" s="328">
        <v>32269</v>
      </c>
      <c r="S23" s="260" t="s">
        <v>280</v>
      </c>
      <c r="T23" s="260" t="s">
        <v>420</v>
      </c>
      <c r="U23" s="332"/>
      <c r="V23" s="222" t="str">
        <f t="shared" si="1"/>
        <v/>
      </c>
      <c r="X23" s="208"/>
      <c r="AB23" s="216">
        <v>2601010007</v>
      </c>
      <c r="AC23" s="217">
        <f>VLOOKUP(AB23,[1]Sheet3!B$2:C$78,2,0)</f>
        <v>-2315501</v>
      </c>
      <c r="AD23" s="223">
        <f>W23-AC23</f>
        <v>2315501</v>
      </c>
    </row>
    <row r="24" spans="1:30" ht="69" x14ac:dyDescent="0.3">
      <c r="A24" s="125" t="s">
        <v>343</v>
      </c>
      <c r="B24" s="266" t="s">
        <v>19</v>
      </c>
      <c r="C24" s="226">
        <v>434069000</v>
      </c>
      <c r="D24" s="211">
        <f t="shared" si="4"/>
        <v>481816590</v>
      </c>
      <c r="E24" s="124">
        <v>46042</v>
      </c>
      <c r="F24" s="281">
        <v>46113</v>
      </c>
      <c r="G24" s="116" t="s">
        <v>344</v>
      </c>
      <c r="H24" s="221"/>
      <c r="I24" s="249" t="str">
        <f t="shared" si="5"/>
        <v/>
      </c>
      <c r="J24" s="249" t="str">
        <f t="shared" si="2"/>
        <v/>
      </c>
      <c r="K24" s="250"/>
      <c r="L24" s="293"/>
      <c r="M24" s="298" t="s">
        <v>382</v>
      </c>
      <c r="N24" s="362" t="s">
        <v>543</v>
      </c>
      <c r="O24" s="210" t="s">
        <v>242</v>
      </c>
      <c r="P24" s="362" t="s">
        <v>535</v>
      </c>
      <c r="Q24" s="260" t="s">
        <v>41</v>
      </c>
      <c r="R24" s="363" t="s">
        <v>544</v>
      </c>
      <c r="S24" s="364" t="s">
        <v>545</v>
      </c>
      <c r="T24" s="362" t="s">
        <v>546</v>
      </c>
      <c r="U24" s="331"/>
      <c r="V24" s="222" t="str">
        <f t="shared" si="1"/>
        <v/>
      </c>
      <c r="X24" s="208"/>
      <c r="AB24" s="216">
        <v>2601010005</v>
      </c>
      <c r="AC24" s="217">
        <f>VLOOKUP(AB24,[1]Sheet3!B$2:C$78,2,0)</f>
        <v>-278825112.5</v>
      </c>
      <c r="AD24" s="223">
        <f>W24-AC24</f>
        <v>278825112.5</v>
      </c>
    </row>
    <row r="25" spans="1:30" ht="69" x14ac:dyDescent="0.3">
      <c r="A25" s="125" t="s">
        <v>343</v>
      </c>
      <c r="B25" s="266" t="s">
        <v>19</v>
      </c>
      <c r="C25" s="211">
        <v>406395000</v>
      </c>
      <c r="D25" s="211">
        <f t="shared" si="4"/>
        <v>451098450</v>
      </c>
      <c r="E25" s="124">
        <v>46042</v>
      </c>
      <c r="F25" s="281">
        <v>46113</v>
      </c>
      <c r="G25" s="116" t="s">
        <v>345</v>
      </c>
      <c r="H25" s="221"/>
      <c r="I25" s="249" t="str">
        <f t="shared" si="5"/>
        <v/>
      </c>
      <c r="J25" s="249" t="str">
        <f t="shared" si="2"/>
        <v/>
      </c>
      <c r="K25" s="250"/>
      <c r="L25" s="293"/>
      <c r="M25" s="298" t="s">
        <v>382</v>
      </c>
      <c r="N25" s="362" t="s">
        <v>543</v>
      </c>
      <c r="O25" s="210" t="s">
        <v>242</v>
      </c>
      <c r="P25" s="362" t="s">
        <v>535</v>
      </c>
      <c r="Q25" s="260" t="s">
        <v>41</v>
      </c>
      <c r="R25" s="363" t="s">
        <v>544</v>
      </c>
      <c r="S25" s="364" t="s">
        <v>545</v>
      </c>
      <c r="T25" s="362" t="s">
        <v>546</v>
      </c>
      <c r="U25" s="331"/>
      <c r="V25" s="222" t="str">
        <f t="shared" si="1"/>
        <v/>
      </c>
      <c r="W25" s="227"/>
      <c r="X25" s="208"/>
      <c r="AB25" s="216">
        <v>2601010006</v>
      </c>
      <c r="AC25" s="217">
        <f>VLOOKUP(AB25,[1]Sheet3!B$2:C$78,2,0)</f>
        <v>-278825612.5</v>
      </c>
      <c r="AD25" s="223">
        <f>W25-AC25</f>
        <v>278825612.5</v>
      </c>
    </row>
    <row r="26" spans="1:30" ht="13.8" hidden="1" x14ac:dyDescent="0.3">
      <c r="A26" s="140" t="s">
        <v>332</v>
      </c>
      <c r="B26" s="266" t="s">
        <v>19</v>
      </c>
      <c r="C26" s="211">
        <v>2807379600</v>
      </c>
      <c r="D26" s="211">
        <f t="shared" si="4"/>
        <v>3116191356</v>
      </c>
      <c r="E26" s="124">
        <v>46043</v>
      </c>
      <c r="F26" s="124">
        <v>46265</v>
      </c>
      <c r="G26" s="120" t="s">
        <v>333</v>
      </c>
      <c r="H26" s="221"/>
      <c r="I26" s="249" t="str">
        <f t="shared" si="5"/>
        <v/>
      </c>
      <c r="J26" s="249" t="str">
        <f t="shared" si="2"/>
        <v/>
      </c>
      <c r="K26" s="250"/>
      <c r="L26" s="293"/>
      <c r="M26" s="116" t="s">
        <v>335</v>
      </c>
      <c r="N26" s="271" t="s">
        <v>334</v>
      </c>
      <c r="O26" s="246" t="s">
        <v>268</v>
      </c>
      <c r="P26" s="128" t="s">
        <v>269</v>
      </c>
      <c r="Q26" s="260" t="s">
        <v>41</v>
      </c>
      <c r="R26" s="328">
        <v>109181.1</v>
      </c>
      <c r="S26" s="260" t="s">
        <v>401</v>
      </c>
      <c r="T26" s="260" t="s">
        <v>420</v>
      </c>
      <c r="V26" s="222" t="str">
        <f t="shared" si="1"/>
        <v/>
      </c>
      <c r="W26" s="225"/>
      <c r="X26" s="208"/>
      <c r="AB26" s="216">
        <v>2601010008</v>
      </c>
      <c r="AC26" s="217">
        <f>VLOOKUP(AB26,[1]Sheet3!B$2:C$78,2,0)</f>
        <v>-1215350</v>
      </c>
      <c r="AD26" s="223">
        <f t="shared" si="3"/>
        <v>1215350</v>
      </c>
    </row>
    <row r="27" spans="1:30" ht="14.4" x14ac:dyDescent="0.3">
      <c r="A27" s="294" t="s">
        <v>339</v>
      </c>
      <c r="B27" s="266" t="s">
        <v>19</v>
      </c>
      <c r="C27" s="211">
        <v>23800000</v>
      </c>
      <c r="D27" s="211">
        <f t="shared" si="4"/>
        <v>26418000</v>
      </c>
      <c r="E27" s="124">
        <v>46049</v>
      </c>
      <c r="F27" s="255">
        <v>46082</v>
      </c>
      <c r="G27" s="120" t="s">
        <v>340</v>
      </c>
      <c r="H27" s="221">
        <v>46082</v>
      </c>
      <c r="I27" s="249">
        <f t="shared" si="5"/>
        <v>23800000</v>
      </c>
      <c r="J27" s="249">
        <f t="shared" si="2"/>
        <v>26418000</v>
      </c>
      <c r="K27" s="250">
        <v>46108</v>
      </c>
      <c r="L27" s="246" t="s">
        <v>428</v>
      </c>
      <c r="M27" s="128" t="s">
        <v>53</v>
      </c>
      <c r="N27" s="246" t="s">
        <v>252</v>
      </c>
      <c r="O27" s="128" t="s">
        <v>253</v>
      </c>
      <c r="P27" s="128" t="s">
        <v>254</v>
      </c>
      <c r="Q27" s="260" t="s">
        <v>26</v>
      </c>
      <c r="R27" s="326">
        <v>4879.5</v>
      </c>
      <c r="S27" s="246" t="s">
        <v>401</v>
      </c>
      <c r="T27" s="128" t="s">
        <v>253</v>
      </c>
      <c r="V27" s="222">
        <f t="shared" si="1"/>
        <v>23800000</v>
      </c>
      <c r="W27" s="209">
        <v>6673221</v>
      </c>
      <c r="X27" s="6" t="s">
        <v>171</v>
      </c>
      <c r="AB27" s="216">
        <v>2601010009</v>
      </c>
      <c r="AC27" s="217">
        <f>VLOOKUP(AB27,[1]Sheet3!B$2:C$78,2,0)</f>
        <v>6673221</v>
      </c>
      <c r="AD27" s="223">
        <f t="shared" si="3"/>
        <v>0</v>
      </c>
    </row>
    <row r="28" spans="1:30" ht="13.8" hidden="1" x14ac:dyDescent="0.3">
      <c r="A28" s="140" t="s">
        <v>332</v>
      </c>
      <c r="B28" s="266" t="s">
        <v>19</v>
      </c>
      <c r="C28" s="228">
        <v>87000000</v>
      </c>
      <c r="D28" s="211">
        <f t="shared" si="4"/>
        <v>96570000</v>
      </c>
      <c r="E28" s="124">
        <v>46063</v>
      </c>
      <c r="F28" s="124">
        <v>46265</v>
      </c>
      <c r="G28" s="229" t="s">
        <v>357</v>
      </c>
      <c r="H28" s="221">
        <v>46174</v>
      </c>
      <c r="I28" s="249">
        <f t="shared" si="5"/>
        <v>87000000</v>
      </c>
      <c r="J28" s="249">
        <f t="shared" si="2"/>
        <v>96570000</v>
      </c>
      <c r="K28" s="215">
        <v>46185</v>
      </c>
      <c r="L28" s="116" t="s">
        <v>560</v>
      </c>
      <c r="M28" s="125" t="s">
        <v>358</v>
      </c>
      <c r="N28" s="271" t="s">
        <v>359</v>
      </c>
      <c r="O28" s="116" t="s">
        <v>360</v>
      </c>
      <c r="P28" s="128" t="s">
        <v>361</v>
      </c>
      <c r="Q28" s="260" t="s">
        <v>26</v>
      </c>
      <c r="R28" s="328">
        <v>3075</v>
      </c>
      <c r="S28" s="260" t="s">
        <v>280</v>
      </c>
      <c r="T28" s="260" t="s">
        <v>420</v>
      </c>
      <c r="U28" s="331"/>
      <c r="V28" s="222">
        <f t="shared" si="1"/>
        <v>87000000</v>
      </c>
      <c r="W28" s="207"/>
      <c r="X28" s="208"/>
      <c r="AB28" s="216">
        <v>2602010012</v>
      </c>
      <c r="AC28" s="217">
        <f>VLOOKUP(AB28,[1]Sheet3!B$2:C$78,2,0)</f>
        <v>-79419738.75</v>
      </c>
      <c r="AD28" s="223">
        <f t="shared" si="3"/>
        <v>79419738.75</v>
      </c>
    </row>
    <row r="29" spans="1:30" ht="13.8" x14ac:dyDescent="0.3">
      <c r="A29" s="125" t="s">
        <v>366</v>
      </c>
      <c r="B29" s="266" t="s">
        <v>19</v>
      </c>
      <c r="C29" s="226">
        <v>62308400</v>
      </c>
      <c r="D29" s="211">
        <f t="shared" si="4"/>
        <v>69162324</v>
      </c>
      <c r="E29" s="124">
        <v>46073</v>
      </c>
      <c r="F29" s="281">
        <v>46113</v>
      </c>
      <c r="G29" s="229" t="s">
        <v>376</v>
      </c>
      <c r="H29" s="281">
        <v>46113</v>
      </c>
      <c r="I29" s="249">
        <f t="shared" si="5"/>
        <v>62308400</v>
      </c>
      <c r="J29" s="249">
        <f t="shared" si="2"/>
        <v>69162324</v>
      </c>
      <c r="K29" s="215">
        <v>46119</v>
      </c>
      <c r="L29" s="116" t="s">
        <v>469</v>
      </c>
      <c r="M29" s="125" t="s">
        <v>368</v>
      </c>
      <c r="N29" s="271" t="s">
        <v>367</v>
      </c>
      <c r="O29" s="116" t="s">
        <v>331</v>
      </c>
      <c r="P29" s="128" t="s">
        <v>87</v>
      </c>
      <c r="Q29" s="260" t="s">
        <v>26</v>
      </c>
      <c r="R29" s="328">
        <v>3390</v>
      </c>
      <c r="S29" s="260" t="s">
        <v>401</v>
      </c>
      <c r="T29" s="260" t="s">
        <v>420</v>
      </c>
      <c r="V29" s="222">
        <f t="shared" si="1"/>
        <v>62308400</v>
      </c>
      <c r="W29" s="353">
        <v>13338955</v>
      </c>
      <c r="X29" s="6" t="s">
        <v>171</v>
      </c>
      <c r="AB29" s="216">
        <v>2602010011</v>
      </c>
      <c r="AC29" s="217">
        <f>VLOOKUP(AB29,[1]Sheet3!B$2:C$78,2,0)</f>
        <v>13338955</v>
      </c>
      <c r="AD29" s="223">
        <f t="shared" si="3"/>
        <v>0</v>
      </c>
    </row>
    <row r="30" spans="1:30" ht="13.8" hidden="1" x14ac:dyDescent="0.3">
      <c r="A30" s="125" t="s">
        <v>366</v>
      </c>
      <c r="B30" s="266" t="s">
        <v>19</v>
      </c>
      <c r="C30" s="101">
        <v>94824800</v>
      </c>
      <c r="D30" s="211">
        <f t="shared" si="4"/>
        <v>105255528</v>
      </c>
      <c r="E30" s="256">
        <v>46073</v>
      </c>
      <c r="F30" s="256">
        <v>46202</v>
      </c>
      <c r="G30" s="229" t="s">
        <v>377</v>
      </c>
      <c r="H30" s="221"/>
      <c r="I30" s="249" t="str">
        <f t="shared" si="5"/>
        <v/>
      </c>
      <c r="J30" s="249" t="str">
        <f t="shared" si="2"/>
        <v/>
      </c>
      <c r="K30" s="215"/>
      <c r="L30" s="116"/>
      <c r="M30" s="116" t="s">
        <v>53</v>
      </c>
      <c r="N30" s="271" t="s">
        <v>369</v>
      </c>
      <c r="O30" s="116" t="s">
        <v>370</v>
      </c>
      <c r="P30" s="128" t="s">
        <v>79</v>
      </c>
      <c r="Q30" s="260" t="s">
        <v>41</v>
      </c>
      <c r="R30" s="328">
        <v>82000000</v>
      </c>
      <c r="S30" s="260" t="s">
        <v>19</v>
      </c>
      <c r="T30" s="116" t="s">
        <v>370</v>
      </c>
      <c r="V30" s="222" t="str">
        <f t="shared" si="1"/>
        <v/>
      </c>
      <c r="W30" s="207"/>
      <c r="X30" s="208"/>
      <c r="AB30" s="216">
        <v>2602010010</v>
      </c>
      <c r="AC30" s="217" t="e">
        <f>VLOOKUP(AB30,[1]Sheet3!B$2:C$78,2,0)</f>
        <v>#N/A</v>
      </c>
      <c r="AD30" s="223" t="e">
        <f t="shared" si="3"/>
        <v>#N/A</v>
      </c>
    </row>
    <row r="31" spans="1:30" ht="13.8" hidden="1" x14ac:dyDescent="0.3">
      <c r="A31" s="125" t="s">
        <v>343</v>
      </c>
      <c r="B31" s="266" t="s">
        <v>19</v>
      </c>
      <c r="C31" s="102">
        <v>17811000</v>
      </c>
      <c r="D31" s="211">
        <f t="shared" si="4"/>
        <v>19770210</v>
      </c>
      <c r="E31" s="257">
        <v>46079</v>
      </c>
      <c r="F31" s="257">
        <v>46150</v>
      </c>
      <c r="G31" s="116" t="s">
        <v>371</v>
      </c>
      <c r="H31" s="221"/>
      <c r="I31" s="249" t="str">
        <f t="shared" si="5"/>
        <v/>
      </c>
      <c r="J31" s="249" t="str">
        <f t="shared" si="2"/>
        <v/>
      </c>
      <c r="K31" s="215"/>
      <c r="L31" s="116"/>
      <c r="M31" s="210" t="s">
        <v>388</v>
      </c>
      <c r="N31" s="304" t="s">
        <v>387</v>
      </c>
      <c r="O31" s="210" t="s">
        <v>242</v>
      </c>
      <c r="P31" s="210" t="s">
        <v>87</v>
      </c>
      <c r="Q31" s="260" t="s">
        <v>41</v>
      </c>
      <c r="R31" s="328">
        <v>623</v>
      </c>
      <c r="S31" s="260" t="s">
        <v>401</v>
      </c>
      <c r="T31" s="210" t="s">
        <v>242</v>
      </c>
      <c r="U31" s="331"/>
      <c r="V31" s="222" t="str">
        <f t="shared" si="1"/>
        <v/>
      </c>
      <c r="W31" s="224"/>
      <c r="X31" s="208"/>
      <c r="AB31" s="216">
        <v>2602010014</v>
      </c>
      <c r="AC31" s="217" t="e">
        <f>VLOOKUP(AB31,[1]Sheet3!B$2:C$78,2,0)</f>
        <v>#N/A</v>
      </c>
      <c r="AD31" s="223" t="e">
        <f t="shared" si="3"/>
        <v>#N/A</v>
      </c>
    </row>
    <row r="32" spans="1:30" ht="13.8" x14ac:dyDescent="0.3">
      <c r="A32" s="176" t="s">
        <v>372</v>
      </c>
      <c r="B32" s="266" t="s">
        <v>19</v>
      </c>
      <c r="C32" s="102">
        <v>31796000</v>
      </c>
      <c r="D32" s="211">
        <f t="shared" si="4"/>
        <v>35293560</v>
      </c>
      <c r="E32" s="257">
        <v>46077</v>
      </c>
      <c r="F32" s="281">
        <v>46113</v>
      </c>
      <c r="G32" s="229" t="s">
        <v>375</v>
      </c>
      <c r="H32" s="281">
        <v>46113</v>
      </c>
      <c r="I32" s="249">
        <f t="shared" si="5"/>
        <v>31796000</v>
      </c>
      <c r="J32" s="249">
        <f t="shared" si="2"/>
        <v>35293560</v>
      </c>
      <c r="K32" s="215">
        <v>46139</v>
      </c>
      <c r="L32" s="116" t="s">
        <v>481</v>
      </c>
      <c r="M32" s="116" t="s">
        <v>53</v>
      </c>
      <c r="N32" s="271" t="s">
        <v>373</v>
      </c>
      <c r="O32" s="116" t="s">
        <v>374</v>
      </c>
      <c r="P32" s="128" t="s">
        <v>93</v>
      </c>
      <c r="Q32" s="260" t="s">
        <v>26</v>
      </c>
      <c r="R32" s="328">
        <v>2970</v>
      </c>
      <c r="S32" s="260" t="s">
        <v>401</v>
      </c>
      <c r="T32" s="271" t="s">
        <v>92</v>
      </c>
      <c r="V32" s="222">
        <f t="shared" si="1"/>
        <v>31796000</v>
      </c>
      <c r="W32" s="207">
        <v>4381657</v>
      </c>
      <c r="X32" s="6" t="s">
        <v>171</v>
      </c>
      <c r="AB32" s="216">
        <v>2602010013</v>
      </c>
      <c r="AC32" s="217">
        <f>VLOOKUP(AB32,[1]Sheet3!B$2:C$78,2,0)</f>
        <v>4381657</v>
      </c>
      <c r="AD32" s="223">
        <f t="shared" si="3"/>
        <v>0</v>
      </c>
    </row>
    <row r="33" spans="1:30" ht="13.8" x14ac:dyDescent="0.3">
      <c r="A33" s="125" t="s">
        <v>384</v>
      </c>
      <c r="B33" s="266" t="s">
        <v>19</v>
      </c>
      <c r="C33" s="196">
        <v>39288600</v>
      </c>
      <c r="D33" s="211">
        <f t="shared" si="4"/>
        <v>43610346</v>
      </c>
      <c r="E33" s="124">
        <v>46085</v>
      </c>
      <c r="F33" s="124">
        <v>46122</v>
      </c>
      <c r="G33" s="229" t="s">
        <v>383</v>
      </c>
      <c r="H33" s="281">
        <v>46113</v>
      </c>
      <c r="I33" s="249">
        <f t="shared" si="5"/>
        <v>39288600</v>
      </c>
      <c r="J33" s="249">
        <f t="shared" si="2"/>
        <v>43610346</v>
      </c>
      <c r="K33" s="215">
        <v>46118</v>
      </c>
      <c r="L33" s="116" t="s">
        <v>477</v>
      </c>
      <c r="M33" s="116" t="s">
        <v>386</v>
      </c>
      <c r="N33" s="116" t="s">
        <v>385</v>
      </c>
      <c r="O33" s="116" t="s">
        <v>331</v>
      </c>
      <c r="P33" s="128" t="s">
        <v>87</v>
      </c>
      <c r="Q33" s="260" t="s">
        <v>26</v>
      </c>
      <c r="R33" s="328">
        <v>1422</v>
      </c>
      <c r="S33" s="260" t="s">
        <v>401</v>
      </c>
      <c r="T33" s="260" t="s">
        <v>420</v>
      </c>
      <c r="U33" s="8" t="s">
        <v>389</v>
      </c>
      <c r="V33" s="222">
        <f t="shared" si="1"/>
        <v>39288600</v>
      </c>
      <c r="W33" s="207">
        <v>12072214.5</v>
      </c>
      <c r="X33" s="6" t="s">
        <v>171</v>
      </c>
      <c r="AB33" s="216">
        <v>2603010015</v>
      </c>
      <c r="AC33" s="217">
        <f>VLOOKUP(AB33,[1]Sheet3!B$2:C$78,2,0)</f>
        <v>12072214.5</v>
      </c>
      <c r="AD33" s="223">
        <f t="shared" si="3"/>
        <v>0</v>
      </c>
    </row>
    <row r="34" spans="1:30" ht="13.8" x14ac:dyDescent="0.3">
      <c r="A34" s="125" t="s">
        <v>366</v>
      </c>
      <c r="B34" s="266" t="s">
        <v>19</v>
      </c>
      <c r="C34" s="196">
        <v>6358000</v>
      </c>
      <c r="D34" s="211">
        <f t="shared" si="4"/>
        <v>7057380</v>
      </c>
      <c r="E34" s="124">
        <v>46097</v>
      </c>
      <c r="F34" s="124">
        <v>46119</v>
      </c>
      <c r="G34" s="229" t="s">
        <v>431</v>
      </c>
      <c r="H34" s="281">
        <v>46113</v>
      </c>
      <c r="I34" s="249">
        <f t="shared" si="5"/>
        <v>6358000</v>
      </c>
      <c r="J34" s="249">
        <f t="shared" si="2"/>
        <v>7057380</v>
      </c>
      <c r="K34" s="215">
        <v>46119</v>
      </c>
      <c r="L34" s="116" t="s">
        <v>472</v>
      </c>
      <c r="M34" s="116" t="s">
        <v>53</v>
      </c>
      <c r="N34" s="199" t="s">
        <v>445</v>
      </c>
      <c r="O34" s="116" t="s">
        <v>422</v>
      </c>
      <c r="P34" s="116" t="s">
        <v>53</v>
      </c>
      <c r="Q34" s="260" t="s">
        <v>26</v>
      </c>
      <c r="R34" s="326" t="s">
        <v>53</v>
      </c>
      <c r="S34" s="246" t="s">
        <v>53</v>
      </c>
      <c r="T34" s="246" t="s">
        <v>53</v>
      </c>
      <c r="V34" s="222">
        <f t="shared" si="1"/>
        <v>6358000</v>
      </c>
      <c r="W34" s="209">
        <v>861760</v>
      </c>
      <c r="X34" s="6" t="s">
        <v>171</v>
      </c>
      <c r="AB34" s="216">
        <v>2603010016</v>
      </c>
      <c r="AC34" s="217">
        <f>VLOOKUP(AB34,[1]Sheet3!B$2:C$78,2,0)</f>
        <v>861760</v>
      </c>
      <c r="AD34" s="223">
        <f t="shared" si="3"/>
        <v>0</v>
      </c>
    </row>
    <row r="35" spans="1:30" ht="41.4" hidden="1" x14ac:dyDescent="0.3">
      <c r="A35" s="212" t="s">
        <v>424</v>
      </c>
      <c r="B35" s="266" t="s">
        <v>19</v>
      </c>
      <c r="C35" s="196">
        <v>20865692</v>
      </c>
      <c r="D35" s="211">
        <f t="shared" si="4"/>
        <v>23160918</v>
      </c>
      <c r="E35" s="124">
        <v>46107</v>
      </c>
      <c r="F35" s="124">
        <v>46219</v>
      </c>
      <c r="G35" s="229" t="s">
        <v>432</v>
      </c>
      <c r="H35" s="221"/>
      <c r="I35" s="249" t="str">
        <f t="shared" si="5"/>
        <v/>
      </c>
      <c r="J35" s="249" t="str">
        <f t="shared" si="2"/>
        <v/>
      </c>
      <c r="K35" s="215"/>
      <c r="L35" s="116"/>
      <c r="M35" s="116" t="s">
        <v>53</v>
      </c>
      <c r="N35" s="116" t="s">
        <v>446</v>
      </c>
      <c r="O35" s="116" t="s">
        <v>242</v>
      </c>
      <c r="P35" s="116" t="s">
        <v>87</v>
      </c>
      <c r="Q35" s="260" t="s">
        <v>41</v>
      </c>
      <c r="R35" s="326">
        <v>812</v>
      </c>
      <c r="S35" s="246" t="s">
        <v>401</v>
      </c>
      <c r="T35" s="246" t="s">
        <v>92</v>
      </c>
      <c r="V35" s="222" t="str">
        <f t="shared" ref="V35:V52" si="6">I35</f>
        <v/>
      </c>
      <c r="W35" s="224"/>
      <c r="X35" s="208"/>
      <c r="AB35" s="216">
        <v>2603010017</v>
      </c>
      <c r="AC35" s="217">
        <f>VLOOKUP(AB35,[1]Sheet3!B$2:C$78,2,0)</f>
        <v>-1872103</v>
      </c>
      <c r="AD35" s="223">
        <f t="shared" si="3"/>
        <v>1872103</v>
      </c>
    </row>
    <row r="36" spans="1:30" ht="13.8" hidden="1" x14ac:dyDescent="0.3">
      <c r="A36" s="125" t="s">
        <v>343</v>
      </c>
      <c r="B36" s="266" t="s">
        <v>19</v>
      </c>
      <c r="C36" s="196">
        <v>108288000</v>
      </c>
      <c r="D36" s="211">
        <f t="shared" si="4"/>
        <v>120199680</v>
      </c>
      <c r="E36" s="124">
        <v>46111</v>
      </c>
      <c r="F36" s="124">
        <v>46234</v>
      </c>
      <c r="G36" s="229" t="s">
        <v>444</v>
      </c>
      <c r="H36" s="221"/>
      <c r="I36" s="249" t="str">
        <f t="shared" si="5"/>
        <v/>
      </c>
      <c r="J36" s="249" t="str">
        <f t="shared" si="2"/>
        <v/>
      </c>
      <c r="K36" s="215"/>
      <c r="L36" s="116"/>
      <c r="M36" s="210" t="s">
        <v>468</v>
      </c>
      <c r="N36" s="116" t="s">
        <v>448</v>
      </c>
      <c r="O36" s="116"/>
      <c r="P36" s="116" t="s">
        <v>87</v>
      </c>
      <c r="Q36" s="260" t="s">
        <v>41</v>
      </c>
      <c r="R36" s="326">
        <v>3947</v>
      </c>
      <c r="S36" s="246" t="s">
        <v>401</v>
      </c>
      <c r="T36" s="246" t="s">
        <v>242</v>
      </c>
      <c r="V36" s="222" t="str">
        <f t="shared" si="6"/>
        <v/>
      </c>
      <c r="W36" s="207"/>
      <c r="X36" s="208"/>
      <c r="AB36" s="216">
        <v>2604010021</v>
      </c>
      <c r="AC36" s="217" t="e">
        <f>VLOOKUP(AB36,[1]Sheet3!B$2:C$78,2,0)</f>
        <v>#N/A</v>
      </c>
      <c r="AD36" s="223" t="e">
        <f t="shared" si="3"/>
        <v>#N/A</v>
      </c>
    </row>
    <row r="37" spans="1:30" ht="13.8" hidden="1" x14ac:dyDescent="0.3">
      <c r="A37" s="140" t="s">
        <v>366</v>
      </c>
      <c r="B37" s="266" t="s">
        <v>19</v>
      </c>
      <c r="C37" s="196">
        <v>114868300</v>
      </c>
      <c r="D37" s="211">
        <f t="shared" si="4"/>
        <v>127503813</v>
      </c>
      <c r="E37" s="124">
        <v>46114</v>
      </c>
      <c r="F37" s="124">
        <v>46177</v>
      </c>
      <c r="G37" s="116" t="s">
        <v>487</v>
      </c>
      <c r="H37" s="283">
        <v>46143</v>
      </c>
      <c r="I37" s="249">
        <f t="shared" si="5"/>
        <v>114868300</v>
      </c>
      <c r="J37" s="249">
        <f t="shared" si="2"/>
        <v>127503813</v>
      </c>
      <c r="K37" s="215">
        <v>46171</v>
      </c>
      <c r="L37" s="359" t="s">
        <v>521</v>
      </c>
      <c r="M37" s="116" t="s">
        <v>457</v>
      </c>
      <c r="N37" s="116" t="s">
        <v>459</v>
      </c>
      <c r="O37" s="116"/>
      <c r="P37" s="116" t="s">
        <v>87</v>
      </c>
      <c r="Q37" s="260" t="s">
        <v>26</v>
      </c>
      <c r="R37" s="326">
        <v>6688.71</v>
      </c>
      <c r="S37" s="246" t="s">
        <v>151</v>
      </c>
      <c r="T37" s="260" t="s">
        <v>420</v>
      </c>
      <c r="V37" s="222">
        <f t="shared" si="6"/>
        <v>114868300</v>
      </c>
      <c r="W37" s="209">
        <v>25857614</v>
      </c>
      <c r="X37" s="6" t="s">
        <v>171</v>
      </c>
      <c r="AB37" s="216">
        <v>2604010022</v>
      </c>
      <c r="AC37" s="217">
        <f>VLOOKUP(AB37,[1]Sheet3!B$2:C$78,2,0)</f>
        <v>25857614</v>
      </c>
      <c r="AD37" s="223">
        <f t="shared" si="3"/>
        <v>0</v>
      </c>
    </row>
    <row r="38" spans="1:30" ht="13.2" hidden="1" customHeight="1" x14ac:dyDescent="0.3">
      <c r="A38" s="125" t="s">
        <v>384</v>
      </c>
      <c r="B38" s="266" t="s">
        <v>19</v>
      </c>
      <c r="C38" s="196">
        <v>46494000</v>
      </c>
      <c r="D38" s="211">
        <f t="shared" si="4"/>
        <v>51608340</v>
      </c>
      <c r="E38" s="124">
        <v>46114</v>
      </c>
      <c r="F38" s="124">
        <v>46160</v>
      </c>
      <c r="G38" s="116" t="s">
        <v>449</v>
      </c>
      <c r="H38" s="283">
        <v>46143</v>
      </c>
      <c r="I38" s="249">
        <f t="shared" si="5"/>
        <v>46494000</v>
      </c>
      <c r="J38" s="249">
        <f t="shared" si="2"/>
        <v>51608340</v>
      </c>
      <c r="K38" s="215">
        <v>46168</v>
      </c>
      <c r="L38" s="359" t="s">
        <v>516</v>
      </c>
      <c r="M38" s="116" t="s">
        <v>451</v>
      </c>
      <c r="N38" s="116" t="s">
        <v>450</v>
      </c>
      <c r="O38" s="116"/>
      <c r="P38" s="116" t="s">
        <v>87</v>
      </c>
      <c r="Q38" s="260" t="s">
        <v>26</v>
      </c>
      <c r="R38" s="326">
        <v>1791</v>
      </c>
      <c r="S38" s="246" t="s">
        <v>401</v>
      </c>
      <c r="T38" s="260" t="s">
        <v>420</v>
      </c>
      <c r="V38" s="222">
        <f t="shared" si="6"/>
        <v>46494000</v>
      </c>
      <c r="W38" s="209">
        <v>17521737.5</v>
      </c>
      <c r="X38" s="6" t="s">
        <v>171</v>
      </c>
      <c r="AB38" s="216">
        <v>2604010018</v>
      </c>
      <c r="AC38" s="217">
        <f>VLOOKUP(AB38,[1]Sheet3!B$2:C$78,2,0)</f>
        <v>17521737.5</v>
      </c>
      <c r="AD38" s="223">
        <f t="shared" si="3"/>
        <v>0</v>
      </c>
    </row>
    <row r="39" spans="1:30" ht="14.4" hidden="1" customHeight="1" x14ac:dyDescent="0.3">
      <c r="A39" s="140" t="s">
        <v>332</v>
      </c>
      <c r="B39" s="266" t="s">
        <v>19</v>
      </c>
      <c r="C39" s="351">
        <v>119000000</v>
      </c>
      <c r="D39" s="211">
        <f t="shared" si="4"/>
        <v>132090000</v>
      </c>
      <c r="E39" s="124">
        <v>46118</v>
      </c>
      <c r="F39" s="124">
        <v>46203</v>
      </c>
      <c r="G39" s="116" t="s">
        <v>488</v>
      </c>
      <c r="H39" s="283"/>
      <c r="I39" s="249" t="str">
        <f t="shared" si="5"/>
        <v/>
      </c>
      <c r="J39" s="249" t="str">
        <f t="shared" si="2"/>
        <v/>
      </c>
      <c r="K39" s="215"/>
      <c r="L39" s="116"/>
      <c r="M39" s="116" t="s">
        <v>465</v>
      </c>
      <c r="N39" s="116" t="s">
        <v>452</v>
      </c>
      <c r="O39" s="116"/>
      <c r="P39" s="116" t="s">
        <v>87</v>
      </c>
      <c r="Q39" s="260" t="s">
        <v>41</v>
      </c>
      <c r="R39" s="326">
        <v>5454</v>
      </c>
      <c r="S39" s="246" t="s">
        <v>151</v>
      </c>
      <c r="T39" s="260" t="s">
        <v>420</v>
      </c>
      <c r="V39" s="222" t="str">
        <f t="shared" si="6"/>
        <v/>
      </c>
      <c r="X39" s="208"/>
      <c r="AB39" s="216">
        <v>2604010023</v>
      </c>
      <c r="AC39" s="217">
        <f>VLOOKUP(AB39,[1]Sheet3!B$2:C$78,2,0)</f>
        <v>-76934592</v>
      </c>
      <c r="AD39" s="223">
        <f t="shared" si="3"/>
        <v>76934592</v>
      </c>
    </row>
    <row r="40" spans="1:30" ht="13.8" hidden="1" x14ac:dyDescent="0.3">
      <c r="A40" s="176" t="s">
        <v>460</v>
      </c>
      <c r="B40" s="266" t="s">
        <v>19</v>
      </c>
      <c r="C40" s="196">
        <v>57681000</v>
      </c>
      <c r="D40" s="211">
        <f t="shared" si="4"/>
        <v>64025910</v>
      </c>
      <c r="E40" s="124">
        <v>46129</v>
      </c>
      <c r="F40" s="124">
        <v>46157</v>
      </c>
      <c r="G40" s="116" t="s">
        <v>461</v>
      </c>
      <c r="H40" s="283">
        <v>46143</v>
      </c>
      <c r="I40" s="249">
        <f t="shared" si="5"/>
        <v>57681000</v>
      </c>
      <c r="J40" s="249">
        <f t="shared" si="2"/>
        <v>64025910</v>
      </c>
      <c r="K40" s="215">
        <v>46168</v>
      </c>
      <c r="L40" s="359" t="s">
        <v>513</v>
      </c>
      <c r="M40" s="128" t="s">
        <v>463</v>
      </c>
      <c r="N40" s="116" t="s">
        <v>464</v>
      </c>
      <c r="O40" s="116"/>
      <c r="P40" s="116" t="s">
        <v>87</v>
      </c>
      <c r="Q40" s="260" t="s">
        <v>26</v>
      </c>
      <c r="R40" s="326">
        <v>3042</v>
      </c>
      <c r="S40" s="246" t="s">
        <v>151</v>
      </c>
      <c r="T40" s="260" t="s">
        <v>420</v>
      </c>
      <c r="V40" s="222">
        <f t="shared" si="6"/>
        <v>57681000</v>
      </c>
      <c r="W40" s="209">
        <v>14289525</v>
      </c>
      <c r="X40" s="6" t="s">
        <v>171</v>
      </c>
      <c r="AB40" s="216">
        <v>2604010019</v>
      </c>
      <c r="AC40" s="217">
        <f>VLOOKUP(AB40,[1]Sheet3!B$2:C$78,2,0)</f>
        <v>14289525</v>
      </c>
      <c r="AD40" s="223">
        <f t="shared" si="3"/>
        <v>0</v>
      </c>
    </row>
    <row r="41" spans="1:30" ht="41.4" hidden="1" x14ac:dyDescent="0.3">
      <c r="A41" s="212" t="s">
        <v>372</v>
      </c>
      <c r="B41" s="266" t="s">
        <v>19</v>
      </c>
      <c r="C41" s="196">
        <v>8908950000</v>
      </c>
      <c r="D41" s="211">
        <f t="shared" si="4"/>
        <v>9888934500</v>
      </c>
      <c r="E41" s="124">
        <v>46121</v>
      </c>
      <c r="F41" s="124">
        <v>46265</v>
      </c>
      <c r="G41" s="229" t="s">
        <v>462</v>
      </c>
      <c r="H41" s="283"/>
      <c r="I41" s="249" t="str">
        <f t="shared" si="5"/>
        <v/>
      </c>
      <c r="J41" s="249" t="str">
        <f t="shared" si="2"/>
        <v/>
      </c>
      <c r="K41" s="215"/>
      <c r="L41" s="125"/>
      <c r="M41" s="116" t="s">
        <v>466</v>
      </c>
      <c r="N41" s="116" t="s">
        <v>467</v>
      </c>
      <c r="O41" s="116"/>
      <c r="P41" s="116" t="s">
        <v>87</v>
      </c>
      <c r="Q41" s="260" t="s">
        <v>41</v>
      </c>
      <c r="R41" s="326">
        <v>237618</v>
      </c>
      <c r="S41" s="246" t="s">
        <v>151</v>
      </c>
      <c r="T41" s="260" t="s">
        <v>420</v>
      </c>
      <c r="V41" s="222" t="str">
        <f t="shared" si="6"/>
        <v/>
      </c>
      <c r="W41" s="230"/>
      <c r="AB41" s="216">
        <v>2604010020</v>
      </c>
      <c r="AC41" s="217" t="e">
        <f>VLOOKUP(AB41,[1]Sheet3!B$2:C$78,2,0)</f>
        <v>#N/A</v>
      </c>
      <c r="AD41" s="223" t="e">
        <f t="shared" si="3"/>
        <v>#N/A</v>
      </c>
    </row>
    <row r="42" spans="1:30" ht="13.8" hidden="1" x14ac:dyDescent="0.3">
      <c r="A42" s="212" t="s">
        <v>332</v>
      </c>
      <c r="B42" s="266" t="s">
        <v>19</v>
      </c>
      <c r="C42" s="196">
        <v>40441000</v>
      </c>
      <c r="D42" s="211">
        <f t="shared" si="4"/>
        <v>44889510</v>
      </c>
      <c r="E42" s="124">
        <v>46137</v>
      </c>
      <c r="F42" s="124">
        <v>46234</v>
      </c>
      <c r="G42" s="229" t="s">
        <v>490</v>
      </c>
      <c r="H42" s="283"/>
      <c r="I42" s="249" t="str">
        <f t="shared" si="5"/>
        <v/>
      </c>
      <c r="J42" s="249" t="str">
        <f t="shared" si="2"/>
        <v/>
      </c>
      <c r="K42" s="215"/>
      <c r="L42" s="125"/>
      <c r="M42" s="116" t="s">
        <v>491</v>
      </c>
      <c r="N42" s="116" t="s">
        <v>492</v>
      </c>
      <c r="O42" s="116"/>
      <c r="P42" s="116" t="s">
        <v>87</v>
      </c>
      <c r="Q42" s="260" t="s">
        <v>41</v>
      </c>
      <c r="R42" s="326">
        <v>3685</v>
      </c>
      <c r="S42" s="246" t="s">
        <v>151</v>
      </c>
      <c r="T42" s="260" t="s">
        <v>420</v>
      </c>
      <c r="V42" s="222" t="str">
        <f t="shared" si="6"/>
        <v/>
      </c>
      <c r="W42" s="230"/>
      <c r="AB42" s="216">
        <v>2605010024</v>
      </c>
      <c r="AC42" s="217" t="e">
        <f>VLOOKUP(AB42,[1]Sheet3!B$2:C$78,2,0)</f>
        <v>#N/A</v>
      </c>
      <c r="AD42" s="223" t="e">
        <f t="shared" si="3"/>
        <v>#N/A</v>
      </c>
    </row>
    <row r="43" spans="1:30" ht="13.8" hidden="1" x14ac:dyDescent="0.3">
      <c r="A43" s="125" t="s">
        <v>493</v>
      </c>
      <c r="B43" s="266" t="s">
        <v>19</v>
      </c>
      <c r="C43" s="196">
        <v>147735000</v>
      </c>
      <c r="D43" s="211">
        <f t="shared" si="4"/>
        <v>163985850</v>
      </c>
      <c r="E43" s="124">
        <v>46133</v>
      </c>
      <c r="F43" s="124">
        <v>46203</v>
      </c>
      <c r="G43" s="229" t="s">
        <v>494</v>
      </c>
      <c r="H43" s="283"/>
      <c r="I43" s="249" t="str">
        <f t="shared" si="5"/>
        <v/>
      </c>
      <c r="J43" s="249" t="str">
        <f t="shared" si="2"/>
        <v/>
      </c>
      <c r="K43" s="215"/>
      <c r="L43" s="125"/>
      <c r="M43" s="116" t="s">
        <v>495</v>
      </c>
      <c r="N43" s="116" t="s">
        <v>496</v>
      </c>
      <c r="O43" s="116"/>
      <c r="P43" s="116" t="s">
        <v>87</v>
      </c>
      <c r="Q43" s="260" t="s">
        <v>41</v>
      </c>
      <c r="R43" s="326">
        <v>9000</v>
      </c>
      <c r="S43" s="246" t="s">
        <v>151</v>
      </c>
      <c r="T43" s="260" t="s">
        <v>420</v>
      </c>
      <c r="U43" s="6" t="s">
        <v>497</v>
      </c>
      <c r="V43" s="222" t="str">
        <f t="shared" si="6"/>
        <v/>
      </c>
      <c r="W43" s="230"/>
      <c r="AB43" s="216">
        <v>2605010026</v>
      </c>
      <c r="AC43" s="217" t="e">
        <f>VLOOKUP(AB43,[1]Sheet3!B$2:C$78,2,0)</f>
        <v>#N/A</v>
      </c>
      <c r="AD43" s="223" t="e">
        <f t="shared" si="3"/>
        <v>#N/A</v>
      </c>
    </row>
    <row r="44" spans="1:30" ht="13.8" hidden="1" x14ac:dyDescent="0.3">
      <c r="A44" s="125" t="s">
        <v>498</v>
      </c>
      <c r="B44" s="266" t="s">
        <v>19</v>
      </c>
      <c r="C44" s="196">
        <v>124116000</v>
      </c>
      <c r="D44" s="211">
        <f t="shared" si="4"/>
        <v>137768760</v>
      </c>
      <c r="E44" s="124">
        <v>46147</v>
      </c>
      <c r="F44" s="124">
        <v>46154</v>
      </c>
      <c r="G44" s="229" t="s">
        <v>499</v>
      </c>
      <c r="H44" s="283">
        <v>46174</v>
      </c>
      <c r="I44" s="249">
        <f t="shared" si="5"/>
        <v>124116000</v>
      </c>
      <c r="J44" s="249">
        <f t="shared" si="2"/>
        <v>137768760</v>
      </c>
      <c r="K44" s="215">
        <v>46191</v>
      </c>
      <c r="L44" s="116" t="s">
        <v>562</v>
      </c>
      <c r="M44" s="116" t="s">
        <v>500</v>
      </c>
      <c r="N44" s="116" t="s">
        <v>501</v>
      </c>
      <c r="O44" s="116"/>
      <c r="P44" s="116" t="s">
        <v>87</v>
      </c>
      <c r="Q44" s="260" t="s">
        <v>26</v>
      </c>
      <c r="R44" s="326">
        <v>4117.5</v>
      </c>
      <c r="S44" s="246" t="s">
        <v>401</v>
      </c>
      <c r="T44" s="260" t="s">
        <v>420</v>
      </c>
      <c r="U44" s="6" t="s">
        <v>502</v>
      </c>
      <c r="V44" s="222">
        <f t="shared" si="6"/>
        <v>124116000</v>
      </c>
      <c r="W44" s="230"/>
      <c r="AB44" s="216">
        <v>2605010025</v>
      </c>
      <c r="AC44" s="217">
        <f>VLOOKUP(AB44,[1]Sheet3!B$2:C$78,2,0)</f>
        <v>-65622656.25</v>
      </c>
      <c r="AD44" s="223">
        <f t="shared" si="3"/>
        <v>65622656.25</v>
      </c>
    </row>
    <row r="45" spans="1:30" ht="13.8" hidden="1" x14ac:dyDescent="0.3">
      <c r="A45" s="125" t="s">
        <v>343</v>
      </c>
      <c r="B45" s="266" t="s">
        <v>19</v>
      </c>
      <c r="C45" s="196">
        <v>247166000</v>
      </c>
      <c r="D45" s="211">
        <f t="shared" si="4"/>
        <v>274354260</v>
      </c>
      <c r="E45" s="124">
        <v>46142</v>
      </c>
      <c r="F45" s="124">
        <v>46227</v>
      </c>
      <c r="G45" s="116" t="s">
        <v>503</v>
      </c>
      <c r="H45" s="283"/>
      <c r="I45" s="249" t="str">
        <f t="shared" si="5"/>
        <v/>
      </c>
      <c r="J45" s="249" t="str">
        <f t="shared" si="2"/>
        <v/>
      </c>
      <c r="K45" s="215"/>
      <c r="L45" s="125"/>
      <c r="M45" s="210" t="s">
        <v>505</v>
      </c>
      <c r="N45" s="116" t="s">
        <v>504</v>
      </c>
      <c r="O45" s="116"/>
      <c r="P45" s="116" t="s">
        <v>87</v>
      </c>
      <c r="Q45" s="260" t="s">
        <v>41</v>
      </c>
      <c r="R45" s="326">
        <v>17254</v>
      </c>
      <c r="S45" s="246" t="s">
        <v>151</v>
      </c>
      <c r="T45" s="246" t="s">
        <v>242</v>
      </c>
      <c r="U45" s="6" t="s">
        <v>506</v>
      </c>
      <c r="V45" s="222" t="str">
        <f t="shared" si="6"/>
        <v/>
      </c>
      <c r="W45" s="230"/>
      <c r="AB45" s="216">
        <v>2605010027</v>
      </c>
      <c r="AC45" s="217" t="e">
        <f>VLOOKUP(AB45,[1]Sheet3!B$2:C$78,2,0)</f>
        <v>#N/A</v>
      </c>
      <c r="AD45" s="223" t="e">
        <f t="shared" si="3"/>
        <v>#N/A</v>
      </c>
    </row>
    <row r="46" spans="1:30" ht="13.8" hidden="1" x14ac:dyDescent="0.3">
      <c r="A46" s="125" t="s">
        <v>471</v>
      </c>
      <c r="B46" s="266" t="s">
        <v>19</v>
      </c>
      <c r="C46" s="196">
        <v>55177760</v>
      </c>
      <c r="D46" s="211">
        <f t="shared" si="4"/>
        <v>61247314</v>
      </c>
      <c r="E46" s="124">
        <v>46147</v>
      </c>
      <c r="F46" s="124"/>
      <c r="G46" s="229" t="s">
        <v>525</v>
      </c>
      <c r="H46" s="283"/>
      <c r="I46" s="249" t="str">
        <f t="shared" si="5"/>
        <v/>
      </c>
      <c r="J46" s="249" t="str">
        <f t="shared" si="2"/>
        <v/>
      </c>
      <c r="K46" s="215"/>
      <c r="L46" s="125"/>
      <c r="M46" s="128" t="s">
        <v>536</v>
      </c>
      <c r="N46" s="116" t="s">
        <v>537</v>
      </c>
      <c r="O46" s="116"/>
      <c r="P46" s="116" t="s">
        <v>87</v>
      </c>
      <c r="Q46" s="260" t="s">
        <v>41</v>
      </c>
      <c r="R46" s="326">
        <v>1459</v>
      </c>
      <c r="S46" s="246" t="s">
        <v>151</v>
      </c>
      <c r="T46" s="246" t="s">
        <v>420</v>
      </c>
      <c r="U46" s="6" t="s">
        <v>538</v>
      </c>
      <c r="V46" s="222" t="str">
        <f t="shared" si="6"/>
        <v/>
      </c>
      <c r="W46" s="230"/>
      <c r="AB46" s="216">
        <v>2605010028</v>
      </c>
      <c r="AC46" s="217" t="e">
        <f>VLOOKUP(AB46,[1]Sheet3!B$2:C$78,2,0)</f>
        <v>#N/A</v>
      </c>
      <c r="AD46" s="223" t="e">
        <f t="shared" si="3"/>
        <v>#N/A</v>
      </c>
    </row>
    <row r="47" spans="1:30" ht="13.8" hidden="1" x14ac:dyDescent="0.3">
      <c r="A47" s="125" t="s">
        <v>471</v>
      </c>
      <c r="B47" s="266" t="s">
        <v>19</v>
      </c>
      <c r="C47" s="196">
        <v>36676650</v>
      </c>
      <c r="D47" s="211">
        <f t="shared" si="4"/>
        <v>40711082</v>
      </c>
      <c r="E47" s="124">
        <v>46160</v>
      </c>
      <c r="F47" s="124"/>
      <c r="G47" s="229" t="s">
        <v>526</v>
      </c>
      <c r="H47" s="283"/>
      <c r="I47" s="249" t="str">
        <f t="shared" si="5"/>
        <v/>
      </c>
      <c r="J47" s="249" t="str">
        <f t="shared" si="2"/>
        <v/>
      </c>
      <c r="K47" s="215"/>
      <c r="L47" s="125"/>
      <c r="M47" s="128" t="s">
        <v>53</v>
      </c>
      <c r="N47" s="116" t="s">
        <v>539</v>
      </c>
      <c r="O47" s="116"/>
      <c r="P47" s="116" t="s">
        <v>320</v>
      </c>
      <c r="Q47" s="260" t="s">
        <v>41</v>
      </c>
      <c r="R47" s="326">
        <v>1800</v>
      </c>
      <c r="S47" s="246" t="s">
        <v>151</v>
      </c>
      <c r="T47" s="246" t="s">
        <v>540</v>
      </c>
      <c r="V47" s="222" t="str">
        <f t="shared" si="6"/>
        <v/>
      </c>
      <c r="W47" s="230"/>
      <c r="AB47" s="216">
        <v>2605010029</v>
      </c>
      <c r="AC47" s="217" t="e">
        <f>VLOOKUP(AB47,[1]Sheet3!B$2:C$78,2,0)</f>
        <v>#N/A</v>
      </c>
      <c r="AD47" s="223" t="e">
        <f t="shared" si="3"/>
        <v>#N/A</v>
      </c>
    </row>
    <row r="48" spans="1:30" ht="13.8" hidden="1" x14ac:dyDescent="0.3">
      <c r="A48" s="125" t="s">
        <v>471</v>
      </c>
      <c r="B48" s="266" t="s">
        <v>19</v>
      </c>
      <c r="C48" s="196">
        <v>158542000</v>
      </c>
      <c r="D48" s="211">
        <f t="shared" si="4"/>
        <v>175981620</v>
      </c>
      <c r="E48" s="124">
        <v>46153</v>
      </c>
      <c r="F48" s="124"/>
      <c r="G48" s="116" t="s">
        <v>527</v>
      </c>
      <c r="H48" s="283"/>
      <c r="I48" s="249" t="str">
        <f t="shared" si="5"/>
        <v/>
      </c>
      <c r="J48" s="249" t="str">
        <f t="shared" si="2"/>
        <v/>
      </c>
      <c r="K48" s="215"/>
      <c r="L48" s="125"/>
      <c r="M48" s="116" t="s">
        <v>541</v>
      </c>
      <c r="N48" s="116" t="s">
        <v>542</v>
      </c>
      <c r="O48" s="116"/>
      <c r="P48" s="116" t="s">
        <v>87</v>
      </c>
      <c r="Q48" s="260" t="s">
        <v>41</v>
      </c>
      <c r="R48" s="326">
        <v>8032</v>
      </c>
      <c r="S48" s="246" t="s">
        <v>151</v>
      </c>
      <c r="T48" s="246" t="s">
        <v>420</v>
      </c>
      <c r="U48" s="6" t="s">
        <v>257</v>
      </c>
      <c r="V48" s="222" t="str">
        <f t="shared" si="6"/>
        <v/>
      </c>
      <c r="AB48" s="216">
        <v>2605010031</v>
      </c>
      <c r="AC48" s="217" t="e">
        <f>VLOOKUP(AB48,[1]Sheet3!B$2:C$78,2,0)</f>
        <v>#N/A</v>
      </c>
      <c r="AD48" s="223" t="e">
        <f t="shared" si="3"/>
        <v>#N/A</v>
      </c>
    </row>
    <row r="49" spans="1:29" ht="13.8" hidden="1" x14ac:dyDescent="0.3">
      <c r="A49" s="125" t="s">
        <v>524</v>
      </c>
      <c r="B49" s="266" t="s">
        <v>19</v>
      </c>
      <c r="C49" s="196">
        <v>54494000</v>
      </c>
      <c r="D49" s="211">
        <f t="shared" si="4"/>
        <v>60488340</v>
      </c>
      <c r="E49" s="124">
        <v>46163</v>
      </c>
      <c r="F49" s="124"/>
      <c r="G49" s="116" t="s">
        <v>528</v>
      </c>
      <c r="H49" s="283"/>
      <c r="I49" s="249" t="str">
        <f t="shared" si="5"/>
        <v/>
      </c>
      <c r="J49" s="249" t="str">
        <f t="shared" si="2"/>
        <v/>
      </c>
      <c r="K49" s="215"/>
      <c r="L49" s="125"/>
      <c r="M49" s="116" t="s">
        <v>533</v>
      </c>
      <c r="N49" s="116" t="s">
        <v>534</v>
      </c>
      <c r="O49" s="116"/>
      <c r="P49" s="116" t="s">
        <v>87</v>
      </c>
      <c r="Q49" s="260" t="s">
        <v>41</v>
      </c>
      <c r="R49" s="326">
        <v>2447.7600000000002</v>
      </c>
      <c r="S49" s="246" t="s">
        <v>151</v>
      </c>
      <c r="T49" s="246" t="s">
        <v>420</v>
      </c>
      <c r="U49" s="6" t="s">
        <v>24</v>
      </c>
      <c r="V49" s="222" t="str">
        <f t="shared" si="6"/>
        <v/>
      </c>
      <c r="W49" s="230"/>
      <c r="AB49" s="216">
        <v>2605010030</v>
      </c>
      <c r="AC49" s="217" t="e">
        <f>VLOOKUP(AB49,[1]Sheet3!B$2:C$78,2,0)</f>
        <v>#N/A</v>
      </c>
    </row>
    <row r="50" spans="1:29" ht="13.8" hidden="1" x14ac:dyDescent="0.3">
      <c r="A50" s="125" t="s">
        <v>524</v>
      </c>
      <c r="B50" s="266" t="s">
        <v>19</v>
      </c>
      <c r="C50" s="247">
        <v>80834000</v>
      </c>
      <c r="D50" s="197">
        <f t="shared" si="4"/>
        <v>89725740</v>
      </c>
      <c r="E50" s="255">
        <v>46168</v>
      </c>
      <c r="F50" s="255">
        <v>46253</v>
      </c>
      <c r="G50" s="246" t="s">
        <v>547</v>
      </c>
      <c r="H50" s="281"/>
      <c r="I50" s="249" t="str">
        <f t="shared" si="5"/>
        <v/>
      </c>
      <c r="J50" s="249" t="str">
        <f t="shared" si="2"/>
        <v/>
      </c>
      <c r="K50" s="250"/>
      <c r="L50" s="245"/>
      <c r="M50" s="246" t="s">
        <v>548</v>
      </c>
      <c r="N50" s="246" t="s">
        <v>549</v>
      </c>
      <c r="O50" s="246"/>
      <c r="P50" s="116" t="s">
        <v>87</v>
      </c>
      <c r="Q50" s="260" t="s">
        <v>41</v>
      </c>
      <c r="R50" s="326">
        <v>4765.9799999999996</v>
      </c>
      <c r="S50" s="246" t="s">
        <v>151</v>
      </c>
      <c r="T50" s="246" t="s">
        <v>420</v>
      </c>
      <c r="U50" s="6" t="s">
        <v>24</v>
      </c>
      <c r="V50" s="222" t="str">
        <f t="shared" si="6"/>
        <v/>
      </c>
    </row>
    <row r="51" spans="1:29" ht="13.8" hidden="1" x14ac:dyDescent="0.3">
      <c r="A51" s="245" t="s">
        <v>551</v>
      </c>
      <c r="B51" s="266" t="s">
        <v>19</v>
      </c>
      <c r="C51" s="247">
        <v>120964000</v>
      </c>
      <c r="D51" s="248">
        <f t="shared" si="4"/>
        <v>134270040</v>
      </c>
      <c r="E51" s="255">
        <v>46185</v>
      </c>
      <c r="F51" s="255">
        <v>46213</v>
      </c>
      <c r="G51" s="246" t="s">
        <v>550</v>
      </c>
      <c r="H51" s="281"/>
      <c r="I51" s="249" t="str">
        <f t="shared" si="5"/>
        <v/>
      </c>
      <c r="J51" s="249" t="str">
        <f t="shared" si="2"/>
        <v/>
      </c>
      <c r="K51" s="250"/>
      <c r="L51" s="245"/>
      <c r="M51" s="246" t="s">
        <v>552</v>
      </c>
      <c r="N51" s="246" t="s">
        <v>553</v>
      </c>
      <c r="O51" s="246"/>
      <c r="P51" s="116" t="s">
        <v>87</v>
      </c>
      <c r="Q51" s="260" t="s">
        <v>41</v>
      </c>
      <c r="R51" s="326">
        <v>6784</v>
      </c>
      <c r="S51" s="246" t="s">
        <v>151</v>
      </c>
      <c r="T51" s="246" t="s">
        <v>420</v>
      </c>
      <c r="U51" s="6" t="s">
        <v>554</v>
      </c>
      <c r="V51" s="222" t="str">
        <f t="shared" si="6"/>
        <v/>
      </c>
    </row>
    <row r="52" spans="1:29" ht="13.8" hidden="1" x14ac:dyDescent="0.3">
      <c r="A52" s="125" t="s">
        <v>471</v>
      </c>
      <c r="B52" s="266" t="s">
        <v>19</v>
      </c>
      <c r="C52" s="247">
        <v>76296000</v>
      </c>
      <c r="D52" s="248">
        <f t="shared" si="4"/>
        <v>84688560</v>
      </c>
      <c r="E52" s="255">
        <v>46191</v>
      </c>
      <c r="F52" s="255">
        <v>46227</v>
      </c>
      <c r="G52" s="246" t="s">
        <v>555</v>
      </c>
      <c r="H52" s="281">
        <v>46174</v>
      </c>
      <c r="I52" s="249">
        <f t="shared" si="5"/>
        <v>76296000</v>
      </c>
      <c r="J52" s="249">
        <f t="shared" si="2"/>
        <v>84688560</v>
      </c>
      <c r="K52" s="250">
        <v>46203</v>
      </c>
      <c r="L52" s="246" t="s">
        <v>563</v>
      </c>
      <c r="M52" s="246"/>
      <c r="N52" s="116"/>
      <c r="O52" s="246"/>
      <c r="P52" s="246"/>
      <c r="Q52" s="116" t="s">
        <v>26</v>
      </c>
      <c r="R52" s="326"/>
      <c r="S52" s="246"/>
      <c r="T52" s="246"/>
      <c r="V52" s="222">
        <f t="shared" si="6"/>
        <v>76296000</v>
      </c>
    </row>
    <row r="53" spans="1:29" ht="13.8" hidden="1" x14ac:dyDescent="0.3">
      <c r="A53" s="125" t="s">
        <v>471</v>
      </c>
      <c r="B53" s="266" t="s">
        <v>19</v>
      </c>
      <c r="C53" s="196">
        <v>31790000</v>
      </c>
      <c r="D53" s="248">
        <f t="shared" si="4"/>
        <v>35286900</v>
      </c>
      <c r="E53" s="124">
        <v>46203</v>
      </c>
      <c r="F53" s="124">
        <v>46226</v>
      </c>
      <c r="G53" s="116" t="s">
        <v>556</v>
      </c>
      <c r="H53" s="283"/>
      <c r="I53" s="249" t="str">
        <f t="shared" si="5"/>
        <v/>
      </c>
      <c r="J53" s="249" t="str">
        <f t="shared" si="2"/>
        <v/>
      </c>
      <c r="K53" s="215"/>
      <c r="L53" s="125"/>
      <c r="M53" s="116"/>
      <c r="N53" s="116"/>
      <c r="O53" s="116"/>
      <c r="P53" s="128"/>
      <c r="Q53" s="116" t="s">
        <v>41</v>
      </c>
      <c r="R53" s="326"/>
      <c r="S53" s="246"/>
      <c r="T53" s="246"/>
    </row>
    <row r="54" spans="1:29" ht="13.8" hidden="1" x14ac:dyDescent="0.3">
      <c r="A54" s="125"/>
      <c r="B54" s="116"/>
      <c r="C54" s="196"/>
      <c r="D54" s="197"/>
      <c r="E54" s="124"/>
      <c r="F54" s="124"/>
      <c r="G54" s="116"/>
      <c r="H54" s="283"/>
      <c r="I54" s="249" t="str">
        <f t="shared" si="5"/>
        <v/>
      </c>
      <c r="J54" s="249" t="str">
        <f t="shared" si="2"/>
        <v/>
      </c>
      <c r="K54" s="215"/>
      <c r="L54" s="116"/>
      <c r="M54" s="116"/>
      <c r="N54" s="116"/>
      <c r="O54" s="116"/>
      <c r="P54" s="128"/>
      <c r="Q54" s="116"/>
      <c r="R54" s="326"/>
      <c r="S54" s="246"/>
      <c r="T54" s="246"/>
    </row>
    <row r="55" spans="1:29" ht="13.8" hidden="1" x14ac:dyDescent="0.3">
      <c r="A55" s="125"/>
      <c r="B55" s="116"/>
      <c r="C55" s="196"/>
      <c r="D55" s="197"/>
      <c r="E55" s="124"/>
      <c r="F55" s="124"/>
      <c r="G55" s="116"/>
      <c r="H55" s="283"/>
      <c r="I55" s="249" t="str">
        <f t="shared" si="5"/>
        <v/>
      </c>
      <c r="J55" s="249" t="str">
        <f t="shared" si="2"/>
        <v/>
      </c>
      <c r="K55" s="215"/>
      <c r="L55" s="116"/>
      <c r="M55" s="116"/>
      <c r="N55" s="246"/>
      <c r="O55" s="246"/>
      <c r="P55" s="301"/>
      <c r="Q55" s="246"/>
      <c r="R55" s="326"/>
      <c r="S55" s="246"/>
      <c r="T55" s="246"/>
    </row>
    <row r="56" spans="1:29" ht="13.8" hidden="1" x14ac:dyDescent="0.3">
      <c r="A56" s="160"/>
      <c r="B56" s="160"/>
      <c r="C56" s="161"/>
      <c r="D56" s="39"/>
      <c r="E56" s="124"/>
      <c r="F56" s="124"/>
      <c r="G56" s="125"/>
      <c r="H56" s="284"/>
      <c r="I56" s="249" t="str">
        <f t="shared" si="5"/>
        <v/>
      </c>
      <c r="J56" s="249" t="str">
        <f t="shared" si="2"/>
        <v/>
      </c>
      <c r="K56" s="215"/>
      <c r="L56" s="116"/>
      <c r="M56" s="116"/>
      <c r="N56" s="246"/>
      <c r="O56" s="246"/>
      <c r="P56" s="301"/>
      <c r="Q56" s="246"/>
      <c r="R56" s="326"/>
      <c r="S56" s="246"/>
      <c r="T56" s="246"/>
    </row>
    <row r="57" spans="1:29" ht="13.8" hidden="1" x14ac:dyDescent="0.3">
      <c r="A57" s="162" t="s">
        <v>237</v>
      </c>
      <c r="B57" s="162"/>
      <c r="C57" s="163">
        <f>'QC Reporting '!B10</f>
        <v>5208407649</v>
      </c>
      <c r="D57" s="164">
        <f>C57*0.11</f>
        <v>572924841.38999999</v>
      </c>
      <c r="F57" s="292"/>
      <c r="Q57" s="199"/>
      <c r="S57" s="199"/>
      <c r="T57" s="199"/>
    </row>
    <row r="58" spans="1:29" ht="13.8" hidden="1" x14ac:dyDescent="0.3">
      <c r="A58" s="162" t="s">
        <v>415</v>
      </c>
      <c r="B58" s="162"/>
      <c r="C58" s="163">
        <f>'QC Reporting '!C10</f>
        <v>9820665558</v>
      </c>
      <c r="D58" s="164">
        <f t="shared" ref="D58:D62" si="7">C58*0.11</f>
        <v>1080273211.3800001</v>
      </c>
      <c r="F58" s="292"/>
      <c r="J58" s="7"/>
      <c r="Q58" s="199"/>
      <c r="S58" s="199"/>
      <c r="T58" s="199"/>
    </row>
    <row r="59" spans="1:29" ht="13.8" hidden="1" x14ac:dyDescent="0.3">
      <c r="A59" s="162" t="s">
        <v>416</v>
      </c>
      <c r="B59" s="162"/>
      <c r="C59" s="163">
        <f>'QC Reporting '!D10</f>
        <v>10114405758</v>
      </c>
      <c r="D59" s="164">
        <f t="shared" si="7"/>
        <v>1112584633.3800001</v>
      </c>
      <c r="F59" s="292"/>
      <c r="J59" s="7"/>
      <c r="K59" s="199"/>
    </row>
    <row r="60" spans="1:29" ht="13.8" hidden="1" x14ac:dyDescent="0.3">
      <c r="A60" s="162" t="s">
        <v>417</v>
      </c>
      <c r="B60" s="162"/>
      <c r="C60" s="163">
        <f>'QC Reporting '!E10</f>
        <v>9715524470</v>
      </c>
      <c r="D60" s="164">
        <f t="shared" si="7"/>
        <v>1068707691.7</v>
      </c>
      <c r="F60" s="292"/>
      <c r="J60" s="7"/>
      <c r="K60" s="199"/>
    </row>
    <row r="61" spans="1:29" ht="13.8" hidden="1" x14ac:dyDescent="0.3">
      <c r="A61" s="162" t="s">
        <v>529</v>
      </c>
      <c r="B61" s="162"/>
      <c r="C61" s="163">
        <f>'QC Reporting '!F10</f>
        <v>18769597770</v>
      </c>
      <c r="D61" s="164">
        <f t="shared" si="7"/>
        <v>2064655754.7</v>
      </c>
      <c r="F61" s="292"/>
      <c r="J61" s="7"/>
      <c r="K61" s="199"/>
    </row>
    <row r="62" spans="1:29" ht="13.8" hidden="1" x14ac:dyDescent="0.3">
      <c r="A62" s="162" t="s">
        <v>530</v>
      </c>
      <c r="B62" s="162"/>
      <c r="C62" s="163">
        <f>'QC Reporting '!G10</f>
        <v>19276312626</v>
      </c>
      <c r="D62" s="164">
        <f t="shared" si="7"/>
        <v>2120394388.8599999</v>
      </c>
      <c r="F62" s="292"/>
      <c r="J62" s="7"/>
      <c r="K62" s="199"/>
    </row>
    <row r="63" spans="1:29" ht="13.8" x14ac:dyDescent="0.3">
      <c r="A63" s="162"/>
      <c r="B63" s="162"/>
      <c r="C63" s="163"/>
      <c r="D63" s="164"/>
      <c r="F63" s="292"/>
      <c r="J63" s="7"/>
      <c r="K63" s="199"/>
    </row>
    <row r="64" spans="1:29" ht="13.8" x14ac:dyDescent="0.3">
      <c r="A64" s="204"/>
      <c r="B64" s="204"/>
      <c r="C64" s="205"/>
      <c r="D64" s="206"/>
      <c r="F64" s="292"/>
      <c r="J64" s="7"/>
    </row>
    <row r="65" spans="2:20" ht="13.2" customHeight="1" x14ac:dyDescent="0.3">
      <c r="C65" s="223" t="e">
        <f>#REF!-C73</f>
        <v>#REF!</v>
      </c>
    </row>
    <row r="66" spans="2:20" ht="41.4" x14ac:dyDescent="0.3">
      <c r="B66" s="141" t="s">
        <v>238</v>
      </c>
      <c r="C66" s="141" t="s">
        <v>4</v>
      </c>
      <c r="D66" s="141" t="s">
        <v>5</v>
      </c>
      <c r="F66" s="141" t="s">
        <v>418</v>
      </c>
      <c r="H66" s="141" t="s">
        <v>532</v>
      </c>
      <c r="I66" s="165" t="s">
        <v>63</v>
      </c>
      <c r="J66" s="314" t="s">
        <v>64</v>
      </c>
      <c r="P66" s="303"/>
      <c r="Q66" s="198"/>
      <c r="S66" s="198"/>
      <c r="T66" s="198"/>
    </row>
    <row r="67" spans="2:20" ht="14.4" x14ac:dyDescent="0.3">
      <c r="B67" s="231">
        <v>46023</v>
      </c>
      <c r="C67" s="177">
        <f>SUMIFS($C$2:$C$77, $E$2:$E$77, "&gt;="&amp;B67, $E$2:$E$77, "&lt;"&amp;EDATE(B67,1))+C19</f>
        <v>4814468094</v>
      </c>
      <c r="D67" s="177">
        <f>SUMIFS($D$2:$D$77, $E$2:$E$77, "&gt;="&amp;B67, $E$2:$E$77, "&lt;"&amp;EDATE(B67,1))+D19</f>
        <v>5344059584</v>
      </c>
      <c r="F67" s="177">
        <f>SUMIFS(C4:$C$55,$F$4:$F$55, "&gt;="&amp;B67,$F$4:$F$55, "&lt;"&amp;EDATE(B67,1))</f>
        <v>202210185</v>
      </c>
      <c r="H67" s="177">
        <f>SUMIFS($C$4:$C$55,$H$4:$H$55, "&gt;="&amp;B67,$H$4:$H$55, "&lt;"&amp;EDATE(B67,1))</f>
        <v>202210185</v>
      </c>
      <c r="I67" s="166" t="s">
        <v>26</v>
      </c>
      <c r="J67" s="315">
        <f>SUMIFS($C$4:$C$56,Q4:Q56,$I67)</f>
        <v>1974756443</v>
      </c>
      <c r="P67" s="303"/>
      <c r="Q67" s="198"/>
      <c r="S67" s="198"/>
      <c r="T67" s="198"/>
    </row>
    <row r="68" spans="2:20" ht="14.4" x14ac:dyDescent="0.3">
      <c r="B68" s="231">
        <v>46054</v>
      </c>
      <c r="C68" s="177">
        <f>SUMIFS($C$2:$C$77, $E$2:$E$77, "&gt;="&amp;B68, $E$2:$E$77, "&lt;"&amp;EDATE(B68,1))</f>
        <v>293740200</v>
      </c>
      <c r="D68" s="177">
        <f>SUMIFS($D$2:$D$77, $E$2:$E$77, "&gt;="&amp;B68, $E$2:$E$77, "&lt;"&amp;EDATE(B68,1))</f>
        <v>326051622</v>
      </c>
      <c r="F68" s="177">
        <f>SUMIFS(C4:$C$55,$F$4:$F$55, "&gt;="&amp;B68,$F$4:$F$55, "&lt;"&amp;EDATE(B68,1))</f>
        <v>0</v>
      </c>
      <c r="H68" s="177">
        <f t="shared" ref="H67:H78" si="8">SUMIFS($C$4:$C$55,$H$4:$H$55, "&gt;="&amp;B68,$H$4:$H$55, "&lt;"&amp;EDATE(B68,1))</f>
        <v>0</v>
      </c>
      <c r="I68" s="168" t="s">
        <v>41</v>
      </c>
      <c r="J68" s="316">
        <f>SUMIFS($C$4:$C$56,Q4:$Q$56,$I68)</f>
        <v>18937885502</v>
      </c>
      <c r="P68" s="303"/>
      <c r="Q68" s="198"/>
      <c r="S68" s="198"/>
      <c r="T68" s="198"/>
    </row>
    <row r="69" spans="2:20" ht="14.4" x14ac:dyDescent="0.3">
      <c r="B69" s="231">
        <v>46082</v>
      </c>
      <c r="C69" s="177">
        <f>SUMIFS($C$2:$C$77, $E$2:$E$77, "&gt;="&amp;B69, $E$2:$E$77, "&lt;"&amp;EDATE(B69,1))-C36</f>
        <v>66512292</v>
      </c>
      <c r="D69" s="177">
        <f>SUMIFS($D$2:$D$77, $E$2:$E$77, "&gt;="&amp;B69, $E$2:$E$77, "&lt;"&amp;EDATE(B69,1))</f>
        <v>194028324</v>
      </c>
      <c r="F69" s="177">
        <f>SUMIFS(C4:$C$55,$F$4:$F$55, "&gt;="&amp;B69,$F$4:$F$55, "&lt;"&amp;EDATE(B69,1))</f>
        <v>465393580</v>
      </c>
      <c r="G69" s="232"/>
      <c r="H69" s="177">
        <f t="shared" si="8"/>
        <v>465393580</v>
      </c>
      <c r="I69" s="223"/>
    </row>
    <row r="70" spans="2:20" ht="14.4" x14ac:dyDescent="0.3">
      <c r="B70" s="231">
        <v>46113</v>
      </c>
      <c r="C70" s="177">
        <f>SUMIFS($C$2:$C$77, $E$2:$E$77, "&gt;="&amp;B70, $E$2:$E$77, "&lt;"&amp;EDATE(B70,1))+C36-C42-C43-C45</f>
        <v>9355281300</v>
      </c>
      <c r="D70" s="177">
        <f>SUMIFS($D$2:$D$77, $E$2:$E$77, "&gt;="&amp;B70, $E$2:$E$77, "&lt;"&amp;EDATE(B70,1))</f>
        <v>10747392183</v>
      </c>
      <c r="F70" s="177">
        <f>SUMIFS(C4:$C$55,$F$4:$F$55, "&gt;="&amp;B70,$F$4:$F$55, "&lt;"&amp;EDATE(B70,1))</f>
        <v>1804211378</v>
      </c>
      <c r="H70" s="177">
        <f t="shared" si="8"/>
        <v>301208000</v>
      </c>
    </row>
    <row r="71" spans="2:20" ht="14.4" x14ac:dyDescent="0.3">
      <c r="B71" s="231">
        <v>46143</v>
      </c>
      <c r="C71" s="177">
        <f>SUMIFS($C$2:$C$77, $E$2:$E$77, "&gt;="&amp;B71, $E$2:$E$77, "&lt;"&amp;EDATE(B71,1))+C42+C43+C45-C50</f>
        <v>864348410</v>
      </c>
      <c r="D71" s="177">
        <f>SUMIFS($D$2:$D$77, $E$2:$E$77, "&gt;="&amp;B71, $E$2:$E$77, "&lt;"&amp;EDATE(B71,1))+D42+D43+D45</f>
        <v>1049152476</v>
      </c>
      <c r="F71" s="177">
        <f>SUMIFS(C4:$C$55,$F$4:$F$55, "&gt;="&amp;B71,$F$4:$F$55, "&lt;"&amp;EDATE(B71,1))</f>
        <v>246102000</v>
      </c>
      <c r="H71" s="177">
        <f t="shared" si="8"/>
        <v>357633554</v>
      </c>
    </row>
    <row r="72" spans="2:20" ht="14.4" x14ac:dyDescent="0.3">
      <c r="B72" s="231">
        <v>46174</v>
      </c>
      <c r="C72" s="177">
        <f>SUMIFS($C$2:$C$77, $E$2:$E$77, "&gt;="&amp;B72, $E$2:$E$77, "&lt;"&amp;EDATE(B72,1))+C50</f>
        <v>309884000</v>
      </c>
      <c r="D72" s="177">
        <f t="shared" ref="D72:D78" si="9">SUMIFS($D$2:$D$77, $E$2:$E$77, "&gt;="&amp;B72, $E$2:$E$77, "&lt;"&amp;EDATE(B72,1))</f>
        <v>254245500</v>
      </c>
      <c r="F72" s="177">
        <f>SUMIFS(C4:$C$55,$F$4:$F$55, "&gt;="&amp;B72,$F$4:$F$55, "&lt;"&amp;EDATE(B72,1))</f>
        <v>476428100</v>
      </c>
      <c r="H72" s="177">
        <f t="shared" si="8"/>
        <v>648311124</v>
      </c>
    </row>
    <row r="73" spans="2:20" ht="14.4" x14ac:dyDescent="0.3">
      <c r="B73" s="231">
        <v>46204</v>
      </c>
      <c r="C73" s="177">
        <f t="shared" ref="C73:C78" si="10">SUMIFS($C$2:$C$77, $E$2:$E$77, "&gt;="&amp;B73, $E$2:$E$77, "&lt;"&amp;EDATE(B73,1))</f>
        <v>0</v>
      </c>
      <c r="D73" s="177">
        <f t="shared" si="9"/>
        <v>0</v>
      </c>
      <c r="F73" s="177">
        <f>SUMIFS(C4:$C$55,$F$4:$F$55, "&gt;="&amp;B73,$F$4:$F$55, "&lt;"&amp;EDATE(B73,1))</f>
        <v>645810692</v>
      </c>
      <c r="H73" s="177">
        <f t="shared" si="8"/>
        <v>0</v>
      </c>
    </row>
    <row r="74" spans="2:20" ht="14.4" x14ac:dyDescent="0.3">
      <c r="B74" s="231">
        <v>46235</v>
      </c>
      <c r="C74" s="177">
        <f t="shared" si="10"/>
        <v>0</v>
      </c>
      <c r="D74" s="177">
        <f t="shared" si="9"/>
        <v>0</v>
      </c>
      <c r="F74" s="177">
        <f>SUMIFS(C4:$C$55,$F$4:$F$55, "&gt;="&amp;B74,$F$4:$F$55, "&lt;"&amp;EDATE(B74,1))</f>
        <v>11884163600</v>
      </c>
      <c r="H74" s="177">
        <f t="shared" si="8"/>
        <v>0</v>
      </c>
    </row>
    <row r="75" spans="2:20" ht="14.4" x14ac:dyDescent="0.3">
      <c r="B75" s="231">
        <v>46266</v>
      </c>
      <c r="C75" s="177">
        <f t="shared" si="10"/>
        <v>0</v>
      </c>
      <c r="D75" s="177">
        <f t="shared" si="9"/>
        <v>0</v>
      </c>
      <c r="F75" s="177">
        <f>SUMIFS(C4:$C$55,$F$4:$F$55, "&gt;="&amp;B75,$F$4:$F$55, "&lt;"&amp;EDATE(B75,1))</f>
        <v>928432000</v>
      </c>
      <c r="H75" s="177">
        <f t="shared" si="8"/>
        <v>0</v>
      </c>
    </row>
    <row r="76" spans="2:20" ht="14.4" x14ac:dyDescent="0.3">
      <c r="B76" s="231">
        <v>46296</v>
      </c>
      <c r="C76" s="177">
        <f t="shared" si="10"/>
        <v>0</v>
      </c>
      <c r="D76" s="177">
        <f t="shared" si="9"/>
        <v>0</v>
      </c>
      <c r="F76" s="177">
        <f>SUMIFS(C4:$C$55,$F$4:$F$55, "&gt;="&amp;B76,$F$4:$F$55, "&lt;"&amp;EDATE(B76,1))</f>
        <v>0</v>
      </c>
      <c r="H76" s="177">
        <f t="shared" si="8"/>
        <v>0</v>
      </c>
      <c r="I76" s="6" t="s">
        <v>531</v>
      </c>
    </row>
    <row r="77" spans="2:20" ht="14.4" x14ac:dyDescent="0.3">
      <c r="B77" s="231">
        <v>46327</v>
      </c>
      <c r="C77" s="177">
        <f t="shared" si="10"/>
        <v>0</v>
      </c>
      <c r="D77" s="177">
        <f t="shared" si="9"/>
        <v>0</v>
      </c>
      <c r="F77" s="309">
        <f>SUMIFS(C4:$C$55,$F$4:$F$55, "&gt;="&amp;B77,$F$4:$F$55, "&lt;"&amp;EDATE(B77,1))</f>
        <v>3955000000</v>
      </c>
      <c r="H77" s="177">
        <f t="shared" si="8"/>
        <v>0</v>
      </c>
    </row>
    <row r="78" spans="2:20" ht="14.4" x14ac:dyDescent="0.3">
      <c r="B78" s="231">
        <v>46357</v>
      </c>
      <c r="C78" s="177">
        <f t="shared" si="10"/>
        <v>0</v>
      </c>
      <c r="D78" s="177">
        <f t="shared" si="9"/>
        <v>0</v>
      </c>
      <c r="F78" s="311">
        <f>SUMIFS(C4:$C$55,$F$4:$F$55, "&gt;="&amp;B78,$F$4:$F$55, "&lt;"&amp;EDATE(B78,1))</f>
        <v>0</v>
      </c>
      <c r="H78" s="177">
        <f t="shared" si="8"/>
        <v>0</v>
      </c>
    </row>
    <row r="79" spans="2:20" ht="14.4" x14ac:dyDescent="0.3">
      <c r="B79" s="148" t="s">
        <v>70</v>
      </c>
      <c r="C79" s="170">
        <f>SUM(C67:C78)</f>
        <v>15704234296</v>
      </c>
      <c r="D79" s="170">
        <f>SUM(D67:D78)</f>
        <v>17914929689</v>
      </c>
      <c r="F79" s="310"/>
    </row>
    <row r="80" spans="2:20" ht="13.5" customHeight="1" x14ac:dyDescent="0.3">
      <c r="C80" s="18"/>
      <c r="F80" s="310"/>
    </row>
    <row r="81" spans="2:6" ht="13.5" customHeight="1" x14ac:dyDescent="0.3">
      <c r="F81" s="292"/>
    </row>
    <row r="82" spans="2:6" ht="13.8" x14ac:dyDescent="0.3">
      <c r="B82" s="148" t="s">
        <v>72</v>
      </c>
      <c r="C82" s="170">
        <f>C79*0.00008</f>
        <v>1256338.7436800001</v>
      </c>
      <c r="D82" s="170">
        <f>D79*0.00008</f>
        <v>1433194.3751200002</v>
      </c>
      <c r="F82" s="292"/>
    </row>
    <row r="84" spans="2:6" ht="13.5" customHeight="1" x14ac:dyDescent="0.3">
      <c r="C84" s="361">
        <v>15937980296</v>
      </c>
    </row>
    <row r="85" spans="2:6" ht="13.5" customHeight="1" x14ac:dyDescent="0.3">
      <c r="C85" s="232">
        <v>15394350296</v>
      </c>
    </row>
    <row r="86" spans="2:6" ht="13.5" customHeight="1" x14ac:dyDescent="0.3">
      <c r="C86" s="223">
        <f>C84-C85</f>
        <v>543630000</v>
      </c>
    </row>
  </sheetData>
  <autoFilter ref="A3:Z62" xr:uid="{73B02F99-164F-4F89-8F8C-507052B5116D}">
    <filterColumn colId="5">
      <filters>
        <dateGroupItem year="2026" month="1" dateTimeGrouping="month"/>
        <dateGroupItem year="2026" month="3" dateTimeGrouping="month"/>
        <dateGroupItem year="2026" month="4" dateTimeGrouping="month"/>
      </filters>
    </filterColumn>
  </autoFilter>
  <mergeCells count="17">
    <mergeCell ref="R10:R11"/>
    <mergeCell ref="S10:S11"/>
    <mergeCell ref="T10:T11"/>
    <mergeCell ref="R1:T2"/>
    <mergeCell ref="Q5:Q6"/>
    <mergeCell ref="H1:L1"/>
    <mergeCell ref="A5:A6"/>
    <mergeCell ref="B5:B6"/>
    <mergeCell ref="C5:C6"/>
    <mergeCell ref="D5:D6"/>
    <mergeCell ref="E5:E6"/>
    <mergeCell ref="G5:G6"/>
    <mergeCell ref="H5:H6"/>
    <mergeCell ref="I5:I6"/>
    <mergeCell ref="J5:J6"/>
    <mergeCell ref="K5:K6"/>
    <mergeCell ref="L5:L6"/>
  </mergeCells>
  <conditionalFormatting sqref="M1:M1048576 O1:O1048576">
    <cfRule type="cellIs" dxfId="20" priority="15" operator="equal">
      <formula>"VALVEWERKZ"</formula>
    </cfRule>
  </conditionalFormatting>
  <conditionalFormatting sqref="Q1:Q2 Q3:T3 Q69:T69 Q71:T1048576">
    <cfRule type="containsText" dxfId="19" priority="32" operator="containsText" text="Closed (Billed)">
      <formula>NOT(ISERROR(SEARCH("Closed (Billed)",Q1)))</formula>
    </cfRule>
  </conditionalFormatting>
  <conditionalFormatting sqref="Q1:Q2">
    <cfRule type="containsText" dxfId="18" priority="31" operator="containsText" text="Open">
      <formula>NOT(ISERROR(SEARCH("Open",Q1)))</formula>
    </cfRule>
  </conditionalFormatting>
  <conditionalFormatting sqref="Q4:S4 Q5:T5 Q7:T7 Q8:S8 Q9:T9 Q10:S10 Q11 Q12:T13 Q14:S16 Q20:S22 Q23:T23 Q24:S25 Q26:T26 Q27:S27 Q28:T29 Q30:S32 Q33:T65 Q17:T19">
    <cfRule type="containsText" dxfId="17" priority="28" operator="containsText" text="Closed (Billed)">
      <formula>NOT(ISERROR(SEARCH("Closed (Billed)",Q4)))</formula>
    </cfRule>
  </conditionalFormatting>
  <conditionalFormatting sqref="Q3:T3 Q69:T69 Q71:T1048576 Q4:S4 Q5:T5 O69 R1 P66:P68">
    <cfRule type="containsText" dxfId="16" priority="36" operator="containsText" text="Open">
      <formula>NOT(ISERROR(SEARCH("Open",O1)))</formula>
    </cfRule>
  </conditionalFormatting>
  <conditionalFormatting sqref="Q12:T13 Q4:S4 Q5:T5 Q7:T7 Q8:S8 Q9:T9 Q10:S10 Q11 Q14:S16 Q20:S22 Q23:T23 Q24:S25 Q26:T26 Q27:S27 Q28:T29 Q30:S32 Q33:T65">
    <cfRule type="containsText" dxfId="15" priority="27" operator="containsText" text="Open">
      <formula>NOT(ISERROR(SEARCH("Open",Q4)))</formula>
    </cfRule>
  </conditionalFormatting>
  <conditionalFormatting sqref="R1 P66:P68 O69">
    <cfRule type="containsText" dxfId="14" priority="37" operator="containsText" text="Closed (Billed)">
      <formula>NOT(ISERROR(SEARCH("Closed (Billed)",O1)))</formula>
    </cfRule>
  </conditionalFormatting>
  <conditionalFormatting sqref="T4">
    <cfRule type="cellIs" dxfId="13" priority="14" operator="equal">
      <formula>"VALVEWERKZ"</formula>
    </cfRule>
  </conditionalFormatting>
  <conditionalFormatting sqref="T6">
    <cfRule type="cellIs" dxfId="12" priority="1" operator="equal">
      <formula>"VALVEWERKZ"</formula>
    </cfRule>
  </conditionalFormatting>
  <conditionalFormatting sqref="T8">
    <cfRule type="cellIs" dxfId="11" priority="13" operator="equal">
      <formula>"VALVEWERKZ"</formula>
    </cfRule>
  </conditionalFormatting>
  <conditionalFormatting sqref="T10">
    <cfRule type="cellIs" dxfId="10" priority="12" operator="equal">
      <formula>"VALVEWERKZ"</formula>
    </cfRule>
  </conditionalFormatting>
  <conditionalFormatting sqref="T12 Q17:T19">
    <cfRule type="containsText" dxfId="9" priority="11" operator="containsText" text="Open">
      <formula>NOT(ISERROR(SEARCH("Open",Q12)))</formula>
    </cfRule>
  </conditionalFormatting>
  <conditionalFormatting sqref="T12 T17:T19">
    <cfRule type="containsText" dxfId="8" priority="10" operator="containsText" text="Closed (Billed)">
      <formula>NOT(ISERROR(SEARCH("Closed (Billed)",T12)))</formula>
    </cfRule>
  </conditionalFormatting>
  <conditionalFormatting sqref="T14:T16">
    <cfRule type="cellIs" dxfId="7" priority="9" operator="equal">
      <formula>"VALVEWERKZ"</formula>
    </cfRule>
  </conditionalFormatting>
  <conditionalFormatting sqref="T20:T21">
    <cfRule type="cellIs" dxfId="6" priority="8" operator="equal">
      <formula>"VALVEWERKZ"</formula>
    </cfRule>
  </conditionalFormatting>
  <conditionalFormatting sqref="T22">
    <cfRule type="containsText" dxfId="5" priority="6" operator="containsText" text="Open">
      <formula>NOT(ISERROR(SEARCH("Open",T22)))</formula>
    </cfRule>
    <cfRule type="containsText" dxfId="4" priority="7" operator="containsText" text="Closed (Billed)">
      <formula>NOT(ISERROR(SEARCH("Closed (Billed)",T22)))</formula>
    </cfRule>
  </conditionalFormatting>
  <conditionalFormatting sqref="T24:T25">
    <cfRule type="cellIs" dxfId="3" priority="5" operator="equal">
      <formula>"VALVEWERKZ"</formula>
    </cfRule>
  </conditionalFormatting>
  <conditionalFormatting sqref="T27">
    <cfRule type="cellIs" dxfId="2" priority="4" operator="equal">
      <formula>"VALVEWERKZ"</formula>
    </cfRule>
  </conditionalFormatting>
  <conditionalFormatting sqref="T30:T32">
    <cfRule type="cellIs" dxfId="1" priority="2" operator="equal">
      <formula>"VALVEWERKZ"</formula>
    </cfRule>
  </conditionalFormatting>
  <conditionalFormatting sqref="AB1:AB1048576">
    <cfRule type="duplicateValues" dxfId="0" priority="35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7404-3644-4FDC-B855-F16596463970}">
  <dimension ref="A1:O287"/>
  <sheetViews>
    <sheetView zoomScale="67" zoomScaleNormal="70" workbookViewId="0">
      <pane xSplit="1" ySplit="5" topLeftCell="B23" activePane="bottomRight" state="frozen"/>
      <selection pane="topRight" activeCell="B1" sqref="B1"/>
      <selection pane="bottomLeft" activeCell="A4" sqref="A4"/>
      <selection pane="bottomRight" activeCell="H25" sqref="H25"/>
    </sheetView>
  </sheetViews>
  <sheetFormatPr defaultColWidth="8.88671875" defaultRowHeight="13.8" x14ac:dyDescent="0.3"/>
  <cols>
    <col min="1" max="1" width="36.5546875" style="22" bestFit="1" customWidth="1"/>
    <col min="2" max="2" width="17.88671875" style="53" bestFit="1" customWidth="1"/>
    <col min="3" max="5" width="17.6640625" style="21" customWidth="1"/>
    <col min="6" max="6" width="20.44140625" style="21" bestFit="1" customWidth="1"/>
    <col min="7" max="8" width="21.44140625" style="21" bestFit="1" customWidth="1"/>
    <col min="9" max="9" width="21.109375" style="21" customWidth="1"/>
    <col min="10" max="10" width="19" style="21" bestFit="1" customWidth="1"/>
    <col min="11" max="14" width="17.6640625" style="21" bestFit="1" customWidth="1"/>
    <col min="15" max="15" width="16.33203125" style="21" bestFit="1" customWidth="1"/>
    <col min="16" max="16384" width="8.88671875" style="21"/>
  </cols>
  <sheetData>
    <row r="1" spans="1:15" x14ac:dyDescent="0.3">
      <c r="H1" s="70" t="s">
        <v>172</v>
      </c>
      <c r="I1" s="71">
        <f>SUM(C9:I9)-'Backlog Checking'!O51</f>
        <v>0</v>
      </c>
    </row>
    <row r="2" spans="1:15" ht="14.4" thickBot="1" x14ac:dyDescent="0.35">
      <c r="H2" s="70" t="s">
        <v>173</v>
      </c>
      <c r="I2" s="71">
        <f>SUM(C8:I8)-'Backlog Checking'!O50</f>
        <v>0</v>
      </c>
    </row>
    <row r="3" spans="1:15" ht="13.95" customHeight="1" thickBot="1" x14ac:dyDescent="0.35">
      <c r="A3" s="25"/>
      <c r="C3" s="374" t="s">
        <v>174</v>
      </c>
      <c r="D3" s="375"/>
      <c r="E3" s="375"/>
      <c r="F3" s="376"/>
    </row>
    <row r="4" spans="1:15" s="33" customFormat="1" x14ac:dyDescent="0.3">
      <c r="A4" s="25"/>
      <c r="B4" s="54">
        <v>2025</v>
      </c>
      <c r="C4" s="33">
        <v>2026</v>
      </c>
      <c r="D4" s="33">
        <v>2026</v>
      </c>
      <c r="E4" s="33">
        <v>2026</v>
      </c>
      <c r="F4" s="33">
        <v>2026</v>
      </c>
      <c r="G4" s="33">
        <v>2026</v>
      </c>
      <c r="H4" s="33">
        <v>2026</v>
      </c>
      <c r="I4" s="33">
        <v>2026</v>
      </c>
      <c r="J4" s="33">
        <v>2026</v>
      </c>
      <c r="K4" s="33">
        <v>2026</v>
      </c>
      <c r="L4" s="33">
        <v>2026</v>
      </c>
      <c r="M4" s="33">
        <v>2026</v>
      </c>
      <c r="N4" s="33">
        <v>2026</v>
      </c>
    </row>
    <row r="5" spans="1:15" s="33" customFormat="1" x14ac:dyDescent="0.3">
      <c r="A5" s="25"/>
      <c r="B5" s="54" t="s">
        <v>68</v>
      </c>
      <c r="C5" s="33" t="s">
        <v>175</v>
      </c>
      <c r="D5" s="33" t="s">
        <v>115</v>
      </c>
      <c r="E5" s="33" t="s">
        <v>116</v>
      </c>
      <c r="F5" s="33" t="s">
        <v>117</v>
      </c>
      <c r="G5" s="33" t="s">
        <v>118</v>
      </c>
      <c r="H5" s="33" t="s">
        <v>119</v>
      </c>
      <c r="I5" s="33" t="s">
        <v>120</v>
      </c>
      <c r="J5" s="33" t="s">
        <v>121</v>
      </c>
      <c r="K5" s="33" t="s">
        <v>122</v>
      </c>
      <c r="L5" s="33" t="s">
        <v>66</v>
      </c>
      <c r="M5" s="33" t="s">
        <v>67</v>
      </c>
      <c r="N5" s="33" t="s">
        <v>68</v>
      </c>
    </row>
    <row r="6" spans="1:15" x14ac:dyDescent="0.3">
      <c r="A6" s="73" t="s">
        <v>147</v>
      </c>
    </row>
    <row r="7" spans="1:15" s="24" customFormat="1" ht="14.4" x14ac:dyDescent="0.3">
      <c r="A7" s="32" t="s">
        <v>176</v>
      </c>
      <c r="B7" s="55">
        <v>1302667549</v>
      </c>
      <c r="C7" s="34">
        <f t="shared" ref="C7:N7" si="0">B10</f>
        <v>5208407649</v>
      </c>
      <c r="D7" s="34">
        <f t="shared" si="0"/>
        <v>9820665558</v>
      </c>
      <c r="E7" s="34">
        <f t="shared" si="0"/>
        <v>10114405758</v>
      </c>
      <c r="F7" s="34">
        <f t="shared" si="0"/>
        <v>9715524470</v>
      </c>
      <c r="G7" s="34">
        <f t="shared" si="0"/>
        <v>18769597770</v>
      </c>
      <c r="H7" s="34">
        <f t="shared" si="0"/>
        <v>19276312626</v>
      </c>
      <c r="I7" s="34">
        <f t="shared" si="0"/>
        <v>18937885502</v>
      </c>
      <c r="J7" s="27">
        <f t="shared" si="0"/>
        <v>18937885502</v>
      </c>
      <c r="K7" s="27">
        <f>J10</f>
        <v>18937885502</v>
      </c>
      <c r="L7" s="27">
        <f t="shared" si="0"/>
        <v>18937885502</v>
      </c>
      <c r="M7" s="27">
        <f t="shared" si="0"/>
        <v>18937885502</v>
      </c>
      <c r="N7" s="27">
        <f t="shared" si="0"/>
        <v>18937885502</v>
      </c>
      <c r="O7" s="27"/>
    </row>
    <row r="8" spans="1:15" s="24" customFormat="1" ht="14.4" x14ac:dyDescent="0.3">
      <c r="A8" s="32" t="s">
        <v>177</v>
      </c>
      <c r="B8" s="55">
        <v>4211928870</v>
      </c>
      <c r="C8" s="322">
        <f>'Order Booking &gt; Billing  2026'!C67</f>
        <v>4814468094</v>
      </c>
      <c r="D8" s="322">
        <f>'Order Booking &gt; Billing  2026'!C68</f>
        <v>293740200</v>
      </c>
      <c r="E8" s="322">
        <f>'Order Booking &gt; Billing  2026'!C69</f>
        <v>66512292</v>
      </c>
      <c r="F8" s="34">
        <f>'Order Booking &gt; Billing  2026'!C70</f>
        <v>9355281300</v>
      </c>
      <c r="G8" s="34">
        <f>'Order Booking &gt; Billing  2026'!C71</f>
        <v>864348410</v>
      </c>
      <c r="H8" s="34">
        <f>'Order Booking &gt; Billing  2026'!C72</f>
        <v>309884000</v>
      </c>
      <c r="I8" s="34"/>
      <c r="J8" s="34"/>
      <c r="K8" s="34"/>
      <c r="L8" s="34"/>
      <c r="M8" s="34"/>
      <c r="N8" s="34"/>
      <c r="O8" s="27"/>
    </row>
    <row r="9" spans="1:15" s="24" customFormat="1" ht="14.4" x14ac:dyDescent="0.3">
      <c r="A9" s="74" t="s">
        <v>178</v>
      </c>
      <c r="B9" s="55">
        <v>306188770</v>
      </c>
      <c r="C9" s="34">
        <f>'Sales-MTD'!G4</f>
        <v>202210185</v>
      </c>
      <c r="D9" s="34">
        <f>'Sales-MTD'!G5</f>
        <v>0</v>
      </c>
      <c r="E9" s="34">
        <f>'Sales-MTD'!G6</f>
        <v>465393580</v>
      </c>
      <c r="F9" s="34">
        <f>'Sales-MTD'!G7</f>
        <v>301208000</v>
      </c>
      <c r="G9" s="34">
        <f>'Sales-MTD'!G8</f>
        <v>357633554</v>
      </c>
      <c r="H9" s="34">
        <f>'Sales-MTD'!G9</f>
        <v>648311124</v>
      </c>
      <c r="I9" s="34"/>
      <c r="J9" s="34"/>
      <c r="K9" s="34"/>
      <c r="L9" s="34"/>
      <c r="M9" s="34"/>
      <c r="N9" s="34"/>
      <c r="O9" s="27"/>
    </row>
    <row r="10" spans="1:15" s="24" customFormat="1" ht="14.4" x14ac:dyDescent="0.3">
      <c r="A10" s="32" t="s">
        <v>179</v>
      </c>
      <c r="B10" s="55">
        <f>B7+B8-B9</f>
        <v>5208407649</v>
      </c>
      <c r="C10" s="31">
        <f>C7+C8-C9</f>
        <v>9820665558</v>
      </c>
      <c r="D10" s="31">
        <f t="shared" ref="D10:I10" si="1">D7+D8-D9</f>
        <v>10114405758</v>
      </c>
      <c r="E10" s="31">
        <f>E7+E8-E9</f>
        <v>9715524470</v>
      </c>
      <c r="F10" s="31">
        <f t="shared" si="1"/>
        <v>18769597770</v>
      </c>
      <c r="G10" s="31">
        <f>G7+G8-G9</f>
        <v>19276312626</v>
      </c>
      <c r="H10" s="31">
        <f t="shared" si="1"/>
        <v>18937885502</v>
      </c>
      <c r="I10" s="31">
        <f t="shared" si="1"/>
        <v>18937885502</v>
      </c>
      <c r="J10" s="28">
        <f t="shared" ref="J10:N10" si="2">J7+J8-J9</f>
        <v>18937885502</v>
      </c>
      <c r="K10" s="28">
        <f t="shared" si="2"/>
        <v>18937885502</v>
      </c>
      <c r="L10" s="28">
        <f t="shared" si="2"/>
        <v>18937885502</v>
      </c>
      <c r="M10" s="28">
        <f t="shared" si="2"/>
        <v>18937885502</v>
      </c>
      <c r="N10" s="28">
        <f t="shared" si="2"/>
        <v>18937885502</v>
      </c>
      <c r="O10" s="27"/>
    </row>
    <row r="11" spans="1:15" x14ac:dyDescent="0.3">
      <c r="A11" s="104" t="s">
        <v>180</v>
      </c>
      <c r="B11" s="56"/>
      <c r="C11" s="29"/>
      <c r="D11" s="29"/>
      <c r="E11" s="29"/>
      <c r="F11" s="29"/>
      <c r="G11" s="29"/>
      <c r="H11" s="29"/>
      <c r="I11" s="29"/>
      <c r="J11" s="103">
        <f>J10-'Backlog Checking'!O57</f>
        <v>0</v>
      </c>
      <c r="K11" s="29"/>
      <c r="L11" s="29"/>
      <c r="M11" s="29"/>
      <c r="N11" s="29"/>
      <c r="O11" s="29"/>
    </row>
    <row r="12" spans="1:15" ht="14.4" x14ac:dyDescent="0.3">
      <c r="A12" s="22" t="s">
        <v>181</v>
      </c>
      <c r="B12" s="55">
        <v>0</v>
      </c>
      <c r="C12" s="72">
        <f t="shared" ref="C12:H12" si="3">C10</f>
        <v>9820665558</v>
      </c>
      <c r="D12" s="72">
        <f t="shared" si="3"/>
        <v>10114405758</v>
      </c>
      <c r="E12" s="72">
        <f t="shared" si="3"/>
        <v>9715524470</v>
      </c>
      <c r="F12" s="72">
        <f t="shared" si="3"/>
        <v>18769597770</v>
      </c>
      <c r="G12" s="31">
        <f>G10</f>
        <v>19276312626</v>
      </c>
      <c r="H12" s="31">
        <f t="shared" si="3"/>
        <v>18937885502</v>
      </c>
      <c r="I12" s="72">
        <f>I10</f>
        <v>18937885502</v>
      </c>
      <c r="J12" s="72">
        <f>J10</f>
        <v>18937885502</v>
      </c>
      <c r="K12" s="31">
        <f>K10</f>
        <v>18937885502</v>
      </c>
      <c r="L12" s="31">
        <f>L10</f>
        <v>18937885502</v>
      </c>
      <c r="M12" s="31">
        <f>M10</f>
        <v>18937885502</v>
      </c>
      <c r="N12" s="30">
        <v>0</v>
      </c>
      <c r="O12" s="29"/>
    </row>
    <row r="13" spans="1:15" x14ac:dyDescent="0.3">
      <c r="B13" s="56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x14ac:dyDescent="0.3">
      <c r="A14" s="73" t="s">
        <v>148</v>
      </c>
      <c r="B14" s="56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</row>
    <row r="15" spans="1:15" s="24" customFormat="1" ht="14.4" x14ac:dyDescent="0.3">
      <c r="A15" s="32" t="s">
        <v>176</v>
      </c>
      <c r="B15" s="55">
        <v>0</v>
      </c>
      <c r="C15" s="27">
        <f>B18</f>
        <v>3905740100</v>
      </c>
      <c r="D15" s="27">
        <f>C15</f>
        <v>3905740100</v>
      </c>
      <c r="E15" s="27">
        <f t="shared" ref="E15:N15" si="4">D15</f>
        <v>3905740100</v>
      </c>
      <c r="F15" s="27">
        <f t="shared" si="4"/>
        <v>3905740100</v>
      </c>
      <c r="G15" s="27">
        <f t="shared" si="4"/>
        <v>3905740100</v>
      </c>
      <c r="H15" s="27">
        <f t="shared" si="4"/>
        <v>3905740100</v>
      </c>
      <c r="I15" s="27">
        <f t="shared" si="4"/>
        <v>3905740100</v>
      </c>
      <c r="J15" s="27">
        <f t="shared" si="4"/>
        <v>3905740100</v>
      </c>
      <c r="K15" s="27">
        <f t="shared" si="4"/>
        <v>3905740100</v>
      </c>
      <c r="L15" s="27">
        <f t="shared" si="4"/>
        <v>3905740100</v>
      </c>
      <c r="M15" s="27">
        <f t="shared" si="4"/>
        <v>3905740100</v>
      </c>
      <c r="N15" s="27">
        <f t="shared" si="4"/>
        <v>3905740100</v>
      </c>
      <c r="O15" s="27"/>
    </row>
    <row r="16" spans="1:15" s="24" customFormat="1" ht="14.4" x14ac:dyDescent="0.3">
      <c r="A16" s="32" t="s">
        <v>182</v>
      </c>
      <c r="B16" s="55">
        <f>B8</f>
        <v>4211928870</v>
      </c>
      <c r="C16" s="27">
        <f>C8</f>
        <v>4814468094</v>
      </c>
      <c r="D16" s="27">
        <f t="shared" ref="D16:I16" si="5">D8+C16</f>
        <v>5108208294</v>
      </c>
      <c r="E16" s="27">
        <f t="shared" si="5"/>
        <v>5174720586</v>
      </c>
      <c r="F16" s="27">
        <f t="shared" si="5"/>
        <v>14530001886</v>
      </c>
      <c r="G16" s="27">
        <f t="shared" si="5"/>
        <v>15394350296</v>
      </c>
      <c r="H16" s="27">
        <f t="shared" si="5"/>
        <v>15704234296</v>
      </c>
      <c r="I16" s="34">
        <f t="shared" si="5"/>
        <v>15704234296</v>
      </c>
      <c r="J16" s="27">
        <f t="shared" ref="J16:N17" si="6">I16+J8</f>
        <v>15704234296</v>
      </c>
      <c r="K16" s="27">
        <f t="shared" si="6"/>
        <v>15704234296</v>
      </c>
      <c r="L16" s="27">
        <f t="shared" si="6"/>
        <v>15704234296</v>
      </c>
      <c r="M16" s="27">
        <f t="shared" si="6"/>
        <v>15704234296</v>
      </c>
      <c r="N16" s="27">
        <f t="shared" si="6"/>
        <v>15704234296</v>
      </c>
      <c r="O16" s="27"/>
    </row>
    <row r="17" spans="1:15" s="24" customFormat="1" ht="14.4" x14ac:dyDescent="0.3">
      <c r="A17" s="32" t="s">
        <v>183</v>
      </c>
      <c r="B17" s="55">
        <f>B9</f>
        <v>306188770</v>
      </c>
      <c r="C17" s="27">
        <f>C9</f>
        <v>202210185</v>
      </c>
      <c r="D17" s="27">
        <f t="shared" ref="D17:I17" si="7">C17+D9</f>
        <v>202210185</v>
      </c>
      <c r="E17" s="27">
        <f t="shared" si="7"/>
        <v>667603765</v>
      </c>
      <c r="F17" s="27">
        <f t="shared" si="7"/>
        <v>968811765</v>
      </c>
      <c r="G17" s="27">
        <f t="shared" si="7"/>
        <v>1326445319</v>
      </c>
      <c r="H17" s="27">
        <f t="shared" si="7"/>
        <v>1974756443</v>
      </c>
      <c r="I17" s="34">
        <f t="shared" si="7"/>
        <v>1974756443</v>
      </c>
      <c r="J17" s="27">
        <f t="shared" si="6"/>
        <v>1974756443</v>
      </c>
      <c r="K17" s="27">
        <f t="shared" si="6"/>
        <v>1974756443</v>
      </c>
      <c r="L17" s="27">
        <f t="shared" si="6"/>
        <v>1974756443</v>
      </c>
      <c r="M17" s="27">
        <f t="shared" si="6"/>
        <v>1974756443</v>
      </c>
      <c r="N17" s="27">
        <f t="shared" si="6"/>
        <v>1974756443</v>
      </c>
      <c r="O17" s="27"/>
    </row>
    <row r="18" spans="1:15" s="24" customFormat="1" ht="14.4" x14ac:dyDescent="0.3">
      <c r="A18" s="32" t="s">
        <v>179</v>
      </c>
      <c r="B18" s="55">
        <f t="shared" ref="B18:N18" si="8">B15+B16-B17</f>
        <v>3905740100</v>
      </c>
      <c r="C18" s="28">
        <f t="shared" si="8"/>
        <v>8517998009</v>
      </c>
      <c r="D18" s="28">
        <f t="shared" si="8"/>
        <v>8811738209</v>
      </c>
      <c r="E18" s="28">
        <f t="shared" si="8"/>
        <v>8412856921</v>
      </c>
      <c r="F18" s="28">
        <f t="shared" si="8"/>
        <v>17466930221</v>
      </c>
      <c r="G18" s="28">
        <f t="shared" si="8"/>
        <v>17973645077</v>
      </c>
      <c r="H18" s="28">
        <f t="shared" si="8"/>
        <v>17635217953</v>
      </c>
      <c r="I18" s="28">
        <f t="shared" si="8"/>
        <v>17635217953</v>
      </c>
      <c r="J18" s="28">
        <f t="shared" si="8"/>
        <v>17635217953</v>
      </c>
      <c r="K18" s="28">
        <f t="shared" si="8"/>
        <v>17635217953</v>
      </c>
      <c r="L18" s="28">
        <f t="shared" si="8"/>
        <v>17635217953</v>
      </c>
      <c r="M18" s="28">
        <f t="shared" si="8"/>
        <v>17635217953</v>
      </c>
      <c r="N18" s="28">
        <f t="shared" si="8"/>
        <v>17635217953</v>
      </c>
      <c r="O18" s="27"/>
    </row>
    <row r="19" spans="1:15" x14ac:dyDescent="0.3">
      <c r="B19" s="56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4.4" x14ac:dyDescent="0.3">
      <c r="A20" s="22" t="s">
        <v>181</v>
      </c>
      <c r="B20" s="56"/>
      <c r="C20" s="28">
        <f t="shared" ref="C20:N20" si="9">C12</f>
        <v>9820665558</v>
      </c>
      <c r="D20" s="28">
        <f t="shared" si="9"/>
        <v>10114405758</v>
      </c>
      <c r="E20" s="28">
        <f t="shared" si="9"/>
        <v>9715524470</v>
      </c>
      <c r="F20" s="28">
        <f t="shared" si="9"/>
        <v>18769597770</v>
      </c>
      <c r="G20" s="28">
        <f>G12</f>
        <v>19276312626</v>
      </c>
      <c r="H20" s="28">
        <f>H12</f>
        <v>18937885502</v>
      </c>
      <c r="I20" s="28">
        <f>I12</f>
        <v>18937885502</v>
      </c>
      <c r="J20" s="28">
        <f t="shared" si="9"/>
        <v>18937885502</v>
      </c>
      <c r="K20" s="28">
        <f t="shared" si="9"/>
        <v>18937885502</v>
      </c>
      <c r="L20" s="28">
        <f t="shared" si="9"/>
        <v>18937885502</v>
      </c>
      <c r="M20" s="28">
        <f t="shared" si="9"/>
        <v>18937885502</v>
      </c>
      <c r="N20" s="28">
        <f t="shared" si="9"/>
        <v>0</v>
      </c>
      <c r="O20" s="29"/>
    </row>
    <row r="21" spans="1:15" x14ac:dyDescent="0.3">
      <c r="B21" s="56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x14ac:dyDescent="0.3">
      <c r="B22" s="56"/>
      <c r="C22" s="29"/>
      <c r="D22" s="29"/>
      <c r="E22" s="29"/>
      <c r="F22" s="29"/>
      <c r="G22" s="29" t="s">
        <v>347</v>
      </c>
      <c r="H22" s="29"/>
      <c r="I22" s="29"/>
      <c r="J22" s="29"/>
      <c r="K22" s="29"/>
      <c r="L22" s="29"/>
      <c r="M22" s="29"/>
      <c r="N22" s="29"/>
      <c r="O22" s="29"/>
    </row>
    <row r="23" spans="1:15" x14ac:dyDescent="0.3">
      <c r="B23" s="56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4.4" x14ac:dyDescent="0.3">
      <c r="A24" s="22" t="s">
        <v>184</v>
      </c>
      <c r="B24" s="55">
        <v>5</v>
      </c>
      <c r="C24" s="321">
        <v>9</v>
      </c>
      <c r="D24" s="34">
        <v>5</v>
      </c>
      <c r="E24" s="34">
        <v>3</v>
      </c>
      <c r="F24" s="34">
        <v>6</v>
      </c>
      <c r="G24" s="34">
        <v>8</v>
      </c>
      <c r="H24" s="34">
        <v>4</v>
      </c>
      <c r="I24" s="34"/>
      <c r="J24" s="34"/>
      <c r="K24" s="34"/>
      <c r="L24" s="285"/>
      <c r="M24" s="34"/>
      <c r="N24" s="34"/>
      <c r="O24" s="29">
        <f>SUM(C24:N24)</f>
        <v>35</v>
      </c>
    </row>
    <row r="25" spans="1:15" ht="14.4" x14ac:dyDescent="0.3">
      <c r="A25" s="22" t="s">
        <v>185</v>
      </c>
      <c r="B25" s="55">
        <v>12326986019</v>
      </c>
      <c r="C25" s="286">
        <v>50886901577</v>
      </c>
      <c r="D25" s="287">
        <v>21128559700</v>
      </c>
      <c r="E25" s="287">
        <v>2576102000</v>
      </c>
      <c r="F25" s="34">
        <v>4881302000</v>
      </c>
      <c r="G25" s="34">
        <v>10546268000</v>
      </c>
      <c r="H25" s="34">
        <v>5216175776</v>
      </c>
      <c r="I25" s="34"/>
      <c r="J25" s="34"/>
      <c r="K25" s="31"/>
      <c r="L25" s="31"/>
      <c r="M25" s="31"/>
      <c r="N25" s="31"/>
      <c r="O25" s="29">
        <f>SUM(C25:N25)</f>
        <v>95235309053</v>
      </c>
    </row>
    <row r="26" spans="1:15" ht="14.4" x14ac:dyDescent="0.3">
      <c r="A26" s="22" t="s">
        <v>186</v>
      </c>
      <c r="B26" s="55">
        <v>20</v>
      </c>
      <c r="C26" s="31">
        <v>15</v>
      </c>
      <c r="D26" s="34">
        <v>27</v>
      </c>
      <c r="E26" s="34">
        <v>19</v>
      </c>
      <c r="F26" s="34">
        <v>26</v>
      </c>
      <c r="G26" s="356">
        <v>37</v>
      </c>
      <c r="H26" s="34">
        <v>33</v>
      </c>
      <c r="I26" s="34"/>
      <c r="J26" s="34"/>
      <c r="K26" s="34"/>
      <c r="L26" s="285"/>
      <c r="M26" s="34"/>
      <c r="N26" s="34"/>
      <c r="O26" s="29">
        <f>SUM(C26:N26)</f>
        <v>157</v>
      </c>
    </row>
    <row r="27" spans="1:15" ht="14.4" x14ac:dyDescent="0.3">
      <c r="B27" s="55"/>
      <c r="C27" s="28"/>
      <c r="D27" s="27"/>
      <c r="E27" s="27"/>
      <c r="F27" s="27"/>
      <c r="G27" s="27"/>
      <c r="H27" s="27"/>
      <c r="I27" s="27"/>
      <c r="J27" s="27"/>
    </row>
    <row r="28" spans="1:15" ht="14.4" thickBot="1" x14ac:dyDescent="0.35">
      <c r="A28" s="23"/>
      <c r="B28" s="57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</row>
    <row r="29" spans="1:15" ht="14.4" x14ac:dyDescent="0.3">
      <c r="J29" s="24"/>
    </row>
    <row r="30" spans="1:15" ht="14.4" x14ac:dyDescent="0.3">
      <c r="A30" s="25" t="s">
        <v>187</v>
      </c>
      <c r="J30" s="24"/>
    </row>
    <row r="31" spans="1:15" x14ac:dyDescent="0.3">
      <c r="A31" s="22" t="s">
        <v>188</v>
      </c>
      <c r="B31" s="53">
        <v>0</v>
      </c>
      <c r="C31" s="323">
        <v>0</v>
      </c>
      <c r="D31" s="323">
        <v>0</v>
      </c>
      <c r="E31" s="323">
        <v>0</v>
      </c>
      <c r="F31" s="22">
        <v>0</v>
      </c>
      <c r="G31" s="288"/>
      <c r="H31" s="288"/>
      <c r="I31" s="22"/>
      <c r="J31" s="22"/>
      <c r="K31" s="22"/>
      <c r="L31" s="22"/>
      <c r="M31" s="22"/>
      <c r="N31" s="22"/>
    </row>
    <row r="32" spans="1:15" x14ac:dyDescent="0.3">
      <c r="A32" s="22" t="s">
        <v>189</v>
      </c>
      <c r="B32" s="53">
        <v>8.5</v>
      </c>
      <c r="C32" s="22">
        <v>8.5</v>
      </c>
      <c r="D32" s="323">
        <v>8</v>
      </c>
      <c r="E32" s="323">
        <v>9</v>
      </c>
      <c r="F32" s="22">
        <v>7</v>
      </c>
      <c r="G32" s="22">
        <v>7</v>
      </c>
      <c r="H32" s="288">
        <v>8</v>
      </c>
      <c r="I32" s="22"/>
      <c r="J32" s="22"/>
      <c r="K32" s="22"/>
      <c r="L32" s="22"/>
      <c r="M32" s="22"/>
      <c r="N32" s="22"/>
    </row>
    <row r="33" spans="1:14" ht="14.4" thickBot="1" x14ac:dyDescent="0.35">
      <c r="A33" s="22" t="s">
        <v>190</v>
      </c>
      <c r="B33" s="178">
        <f t="shared" ref="B33:N33" si="10">SUM(B31:B32)</f>
        <v>8.5</v>
      </c>
      <c r="C33" s="179">
        <f t="shared" si="10"/>
        <v>8.5</v>
      </c>
      <c r="D33" s="179">
        <f t="shared" si="10"/>
        <v>8</v>
      </c>
      <c r="E33" s="179">
        <f t="shared" si="10"/>
        <v>9</v>
      </c>
      <c r="F33" s="179">
        <f t="shared" si="10"/>
        <v>7</v>
      </c>
      <c r="G33" s="180">
        <f t="shared" si="10"/>
        <v>7</v>
      </c>
      <c r="H33" s="180">
        <f t="shared" si="10"/>
        <v>8</v>
      </c>
      <c r="I33" s="179">
        <f t="shared" si="10"/>
        <v>0</v>
      </c>
      <c r="J33" s="179">
        <f t="shared" si="10"/>
        <v>0</v>
      </c>
      <c r="K33" s="179">
        <f t="shared" si="10"/>
        <v>0</v>
      </c>
      <c r="L33" s="179">
        <f t="shared" si="10"/>
        <v>0</v>
      </c>
      <c r="M33" s="179">
        <f t="shared" si="10"/>
        <v>0</v>
      </c>
      <c r="N33" s="179">
        <f t="shared" si="10"/>
        <v>0</v>
      </c>
    </row>
    <row r="34" spans="1:14" ht="14.4" thickTop="1" x14ac:dyDescent="0.3">
      <c r="C34" s="22"/>
      <c r="D34" s="22">
        <f t="shared" ref="D34:N34" si="11">D33-C33</f>
        <v>-0.5</v>
      </c>
      <c r="E34" s="22">
        <f t="shared" si="11"/>
        <v>1</v>
      </c>
      <c r="F34" s="22">
        <f t="shared" si="11"/>
        <v>-2</v>
      </c>
      <c r="G34" s="22">
        <f t="shared" si="11"/>
        <v>0</v>
      </c>
      <c r="H34" s="22">
        <f t="shared" si="11"/>
        <v>1</v>
      </c>
      <c r="I34" s="22">
        <f t="shared" si="11"/>
        <v>-8</v>
      </c>
      <c r="J34" s="22">
        <f t="shared" si="11"/>
        <v>0</v>
      </c>
      <c r="K34" s="22">
        <f t="shared" si="11"/>
        <v>0</v>
      </c>
      <c r="L34" s="22">
        <f t="shared" si="11"/>
        <v>0</v>
      </c>
      <c r="M34" s="22">
        <f t="shared" si="11"/>
        <v>0</v>
      </c>
      <c r="N34" s="22">
        <f t="shared" si="11"/>
        <v>0</v>
      </c>
    </row>
    <row r="35" spans="1:14" ht="14.4" thickBot="1" x14ac:dyDescent="0.35">
      <c r="A35" s="23"/>
      <c r="B35" s="57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spans="1:14" s="22" customFormat="1" ht="27.6" x14ac:dyDescent="0.3">
      <c r="A36" s="189" t="s">
        <v>191</v>
      </c>
      <c r="B36" s="53"/>
    </row>
    <row r="37" spans="1:14" s="22" customFormat="1" x14ac:dyDescent="0.3">
      <c r="B37" s="53"/>
      <c r="D37" s="285">
        <f>D12</f>
        <v>10114405758</v>
      </c>
      <c r="E37" s="285">
        <f>D38</f>
        <v>10133343466</v>
      </c>
    </row>
    <row r="38" spans="1:14" s="22" customFormat="1" x14ac:dyDescent="0.3">
      <c r="B38" s="53"/>
      <c r="C38" s="25" t="s">
        <v>443</v>
      </c>
      <c r="D38" s="324">
        <v>10133343466</v>
      </c>
      <c r="E38" s="325">
        <f>E8-D39+F38</f>
        <v>104952333</v>
      </c>
      <c r="F38" s="285">
        <v>57377749</v>
      </c>
    </row>
    <row r="39" spans="1:14" s="22" customFormat="1" x14ac:dyDescent="0.3">
      <c r="B39" s="53"/>
      <c r="D39" s="285">
        <f>D38-D37</f>
        <v>18937708</v>
      </c>
      <c r="E39" s="285">
        <f>E9</f>
        <v>465393580</v>
      </c>
    </row>
    <row r="40" spans="1:14" s="22" customFormat="1" x14ac:dyDescent="0.3">
      <c r="B40" s="53"/>
      <c r="E40" s="285">
        <f>E37+E38-E39</f>
        <v>9772902219</v>
      </c>
    </row>
    <row r="41" spans="1:14" s="22" customFormat="1" x14ac:dyDescent="0.3">
      <c r="B41" s="53"/>
      <c r="E41" s="285">
        <f>E12-E40</f>
        <v>-57377749</v>
      </c>
    </row>
    <row r="42" spans="1:14" s="22" customFormat="1" x14ac:dyDescent="0.3">
      <c r="B42" s="53"/>
    </row>
    <row r="43" spans="1:14" s="22" customFormat="1" x14ac:dyDescent="0.3">
      <c r="B43" s="53"/>
    </row>
    <row r="44" spans="1:14" s="22" customFormat="1" x14ac:dyDescent="0.3">
      <c r="B44" s="53"/>
    </row>
    <row r="45" spans="1:14" s="22" customFormat="1" x14ac:dyDescent="0.3">
      <c r="B45" s="53"/>
    </row>
    <row r="46" spans="1:14" s="22" customFormat="1" x14ac:dyDescent="0.3">
      <c r="B46" s="53"/>
    </row>
    <row r="47" spans="1:14" s="22" customFormat="1" x14ac:dyDescent="0.3">
      <c r="B47" s="53"/>
    </row>
    <row r="48" spans="1:14" s="22" customFormat="1" x14ac:dyDescent="0.3">
      <c r="B48" s="53"/>
    </row>
    <row r="49" spans="2:2" s="22" customFormat="1" x14ac:dyDescent="0.3">
      <c r="B49" s="53"/>
    </row>
    <row r="50" spans="2:2" s="22" customFormat="1" x14ac:dyDescent="0.3">
      <c r="B50" s="53"/>
    </row>
    <row r="51" spans="2:2" s="22" customFormat="1" x14ac:dyDescent="0.3">
      <c r="B51" s="53"/>
    </row>
    <row r="52" spans="2:2" s="22" customFormat="1" x14ac:dyDescent="0.3">
      <c r="B52" s="53"/>
    </row>
    <row r="53" spans="2:2" s="22" customFormat="1" x14ac:dyDescent="0.3">
      <c r="B53" s="53"/>
    </row>
    <row r="54" spans="2:2" s="22" customFormat="1" x14ac:dyDescent="0.3">
      <c r="B54" s="53"/>
    </row>
    <row r="55" spans="2:2" s="22" customFormat="1" x14ac:dyDescent="0.3">
      <c r="B55" s="53"/>
    </row>
    <row r="56" spans="2:2" s="22" customFormat="1" x14ac:dyDescent="0.3">
      <c r="B56" s="53"/>
    </row>
    <row r="57" spans="2:2" s="22" customFormat="1" x14ac:dyDescent="0.3">
      <c r="B57" s="53"/>
    </row>
    <row r="58" spans="2:2" s="22" customFormat="1" x14ac:dyDescent="0.3">
      <c r="B58" s="53"/>
    </row>
    <row r="59" spans="2:2" s="22" customFormat="1" x14ac:dyDescent="0.3">
      <c r="B59" s="53"/>
    </row>
    <row r="60" spans="2:2" s="22" customFormat="1" x14ac:dyDescent="0.3">
      <c r="B60" s="53"/>
    </row>
    <row r="61" spans="2:2" s="22" customFormat="1" x14ac:dyDescent="0.3">
      <c r="B61" s="53"/>
    </row>
    <row r="62" spans="2:2" s="22" customFormat="1" x14ac:dyDescent="0.3">
      <c r="B62" s="53"/>
    </row>
    <row r="63" spans="2:2" s="22" customFormat="1" x14ac:dyDescent="0.3">
      <c r="B63" s="53"/>
    </row>
    <row r="64" spans="2:2" s="22" customFormat="1" x14ac:dyDescent="0.3">
      <c r="B64" s="53"/>
    </row>
    <row r="65" spans="2:2" s="22" customFormat="1" x14ac:dyDescent="0.3">
      <c r="B65" s="53"/>
    </row>
    <row r="66" spans="2:2" s="22" customFormat="1" x14ac:dyDescent="0.3">
      <c r="B66" s="53"/>
    </row>
    <row r="67" spans="2:2" s="22" customFormat="1" x14ac:dyDescent="0.3">
      <c r="B67" s="53"/>
    </row>
    <row r="68" spans="2:2" s="22" customFormat="1" x14ac:dyDescent="0.3">
      <c r="B68" s="53"/>
    </row>
    <row r="69" spans="2:2" s="22" customFormat="1" x14ac:dyDescent="0.3">
      <c r="B69" s="53"/>
    </row>
    <row r="70" spans="2:2" s="22" customFormat="1" x14ac:dyDescent="0.3">
      <c r="B70" s="53"/>
    </row>
    <row r="71" spans="2:2" s="22" customFormat="1" x14ac:dyDescent="0.3">
      <c r="B71" s="53"/>
    </row>
    <row r="72" spans="2:2" s="22" customFormat="1" x14ac:dyDescent="0.3">
      <c r="B72" s="53"/>
    </row>
    <row r="73" spans="2:2" s="22" customFormat="1" x14ac:dyDescent="0.3">
      <c r="B73" s="53"/>
    </row>
    <row r="74" spans="2:2" s="22" customFormat="1" x14ac:dyDescent="0.3">
      <c r="B74" s="53"/>
    </row>
    <row r="75" spans="2:2" s="22" customFormat="1" x14ac:dyDescent="0.3">
      <c r="B75" s="53"/>
    </row>
    <row r="76" spans="2:2" s="22" customFormat="1" x14ac:dyDescent="0.3">
      <c r="B76" s="53"/>
    </row>
    <row r="77" spans="2:2" s="22" customFormat="1" x14ac:dyDescent="0.3">
      <c r="B77" s="53"/>
    </row>
    <row r="78" spans="2:2" s="22" customFormat="1" x14ac:dyDescent="0.3">
      <c r="B78" s="53"/>
    </row>
    <row r="79" spans="2:2" s="22" customFormat="1" x14ac:dyDescent="0.3">
      <c r="B79" s="53"/>
    </row>
    <row r="80" spans="2:2" s="22" customFormat="1" x14ac:dyDescent="0.3">
      <c r="B80" s="53"/>
    </row>
    <row r="81" spans="2:2" s="22" customFormat="1" x14ac:dyDescent="0.3">
      <c r="B81" s="53"/>
    </row>
    <row r="82" spans="2:2" s="22" customFormat="1" x14ac:dyDescent="0.3">
      <c r="B82" s="53"/>
    </row>
    <row r="83" spans="2:2" s="22" customFormat="1" x14ac:dyDescent="0.3">
      <c r="B83" s="53"/>
    </row>
    <row r="84" spans="2:2" s="22" customFormat="1" x14ac:dyDescent="0.3">
      <c r="B84" s="53"/>
    </row>
    <row r="85" spans="2:2" s="22" customFormat="1" x14ac:dyDescent="0.3">
      <c r="B85" s="53"/>
    </row>
    <row r="86" spans="2:2" s="22" customFormat="1" x14ac:dyDescent="0.3">
      <c r="B86" s="53"/>
    </row>
    <row r="87" spans="2:2" s="22" customFormat="1" x14ac:dyDescent="0.3">
      <c r="B87" s="53"/>
    </row>
    <row r="88" spans="2:2" s="22" customFormat="1" x14ac:dyDescent="0.3">
      <c r="B88" s="53"/>
    </row>
    <row r="89" spans="2:2" s="22" customFormat="1" x14ac:dyDescent="0.3">
      <c r="B89" s="53"/>
    </row>
    <row r="90" spans="2:2" s="22" customFormat="1" x14ac:dyDescent="0.3">
      <c r="B90" s="53"/>
    </row>
    <row r="91" spans="2:2" s="22" customFormat="1" x14ac:dyDescent="0.3">
      <c r="B91" s="53"/>
    </row>
    <row r="92" spans="2:2" s="22" customFormat="1" x14ac:dyDescent="0.3">
      <c r="B92" s="53"/>
    </row>
    <row r="93" spans="2:2" s="22" customFormat="1" x14ac:dyDescent="0.3">
      <c r="B93" s="53"/>
    </row>
    <row r="94" spans="2:2" s="22" customFormat="1" x14ac:dyDescent="0.3">
      <c r="B94" s="53"/>
    </row>
    <row r="95" spans="2:2" s="22" customFormat="1" x14ac:dyDescent="0.3">
      <c r="B95" s="53"/>
    </row>
    <row r="96" spans="2:2" s="22" customFormat="1" x14ac:dyDescent="0.3">
      <c r="B96" s="53"/>
    </row>
    <row r="97" spans="2:2" s="22" customFormat="1" x14ac:dyDescent="0.3">
      <c r="B97" s="53"/>
    </row>
    <row r="98" spans="2:2" s="22" customFormat="1" x14ac:dyDescent="0.3">
      <c r="B98" s="53"/>
    </row>
    <row r="99" spans="2:2" s="22" customFormat="1" x14ac:dyDescent="0.3">
      <c r="B99" s="53"/>
    </row>
    <row r="100" spans="2:2" s="22" customFormat="1" x14ac:dyDescent="0.3">
      <c r="B100" s="53"/>
    </row>
    <row r="101" spans="2:2" s="22" customFormat="1" x14ac:dyDescent="0.3">
      <c r="B101" s="53"/>
    </row>
    <row r="102" spans="2:2" s="22" customFormat="1" x14ac:dyDescent="0.3">
      <c r="B102" s="53"/>
    </row>
    <row r="103" spans="2:2" s="22" customFormat="1" x14ac:dyDescent="0.3">
      <c r="B103" s="53"/>
    </row>
    <row r="104" spans="2:2" s="22" customFormat="1" x14ac:dyDescent="0.3">
      <c r="B104" s="53"/>
    </row>
    <row r="105" spans="2:2" s="22" customFormat="1" x14ac:dyDescent="0.3">
      <c r="B105" s="53"/>
    </row>
    <row r="106" spans="2:2" s="22" customFormat="1" x14ac:dyDescent="0.3">
      <c r="B106" s="53"/>
    </row>
    <row r="107" spans="2:2" s="22" customFormat="1" x14ac:dyDescent="0.3">
      <c r="B107" s="53"/>
    </row>
    <row r="108" spans="2:2" s="22" customFormat="1" x14ac:dyDescent="0.3">
      <c r="B108" s="53"/>
    </row>
    <row r="109" spans="2:2" s="22" customFormat="1" x14ac:dyDescent="0.3">
      <c r="B109" s="53"/>
    </row>
    <row r="110" spans="2:2" s="22" customFormat="1" x14ac:dyDescent="0.3">
      <c r="B110" s="53"/>
    </row>
    <row r="111" spans="2:2" s="22" customFormat="1" x14ac:dyDescent="0.3">
      <c r="B111" s="53"/>
    </row>
    <row r="112" spans="2:2" s="22" customFormat="1" x14ac:dyDescent="0.3">
      <c r="B112" s="53"/>
    </row>
    <row r="113" spans="2:2" s="22" customFormat="1" x14ac:dyDescent="0.3">
      <c r="B113" s="53"/>
    </row>
    <row r="114" spans="2:2" s="22" customFormat="1" x14ac:dyDescent="0.3">
      <c r="B114" s="53"/>
    </row>
    <row r="115" spans="2:2" s="22" customFormat="1" x14ac:dyDescent="0.3">
      <c r="B115" s="53"/>
    </row>
    <row r="116" spans="2:2" s="22" customFormat="1" x14ac:dyDescent="0.3">
      <c r="B116" s="53"/>
    </row>
    <row r="117" spans="2:2" s="22" customFormat="1" x14ac:dyDescent="0.3">
      <c r="B117" s="53"/>
    </row>
    <row r="118" spans="2:2" s="22" customFormat="1" x14ac:dyDescent="0.3">
      <c r="B118" s="53"/>
    </row>
    <row r="119" spans="2:2" s="22" customFormat="1" x14ac:dyDescent="0.3">
      <c r="B119" s="53"/>
    </row>
    <row r="120" spans="2:2" s="22" customFormat="1" x14ac:dyDescent="0.3">
      <c r="B120" s="53"/>
    </row>
    <row r="121" spans="2:2" s="22" customFormat="1" x14ac:dyDescent="0.3">
      <c r="B121" s="53"/>
    </row>
    <row r="122" spans="2:2" s="22" customFormat="1" x14ac:dyDescent="0.3">
      <c r="B122" s="53"/>
    </row>
    <row r="123" spans="2:2" s="22" customFormat="1" x14ac:dyDescent="0.3">
      <c r="B123" s="53"/>
    </row>
    <row r="124" spans="2:2" s="22" customFormat="1" x14ac:dyDescent="0.3">
      <c r="B124" s="53"/>
    </row>
    <row r="125" spans="2:2" s="22" customFormat="1" x14ac:dyDescent="0.3">
      <c r="B125" s="53"/>
    </row>
    <row r="126" spans="2:2" s="22" customFormat="1" x14ac:dyDescent="0.3">
      <c r="B126" s="53"/>
    </row>
    <row r="127" spans="2:2" s="22" customFormat="1" x14ac:dyDescent="0.3">
      <c r="B127" s="53"/>
    </row>
    <row r="128" spans="2:2" s="22" customFormat="1" x14ac:dyDescent="0.3">
      <c r="B128" s="53"/>
    </row>
    <row r="129" spans="2:2" s="22" customFormat="1" x14ac:dyDescent="0.3">
      <c r="B129" s="53"/>
    </row>
    <row r="130" spans="2:2" s="22" customFormat="1" x14ac:dyDescent="0.3">
      <c r="B130" s="53"/>
    </row>
    <row r="131" spans="2:2" s="22" customFormat="1" x14ac:dyDescent="0.3">
      <c r="B131" s="53"/>
    </row>
    <row r="132" spans="2:2" s="22" customFormat="1" x14ac:dyDescent="0.3">
      <c r="B132" s="53"/>
    </row>
    <row r="133" spans="2:2" s="22" customFormat="1" x14ac:dyDescent="0.3">
      <c r="B133" s="53"/>
    </row>
    <row r="134" spans="2:2" s="22" customFormat="1" x14ac:dyDescent="0.3">
      <c r="B134" s="53"/>
    </row>
    <row r="135" spans="2:2" s="22" customFormat="1" x14ac:dyDescent="0.3">
      <c r="B135" s="53"/>
    </row>
    <row r="136" spans="2:2" s="22" customFormat="1" x14ac:dyDescent="0.3">
      <c r="B136" s="53"/>
    </row>
    <row r="137" spans="2:2" s="22" customFormat="1" x14ac:dyDescent="0.3">
      <c r="B137" s="53"/>
    </row>
    <row r="138" spans="2:2" s="22" customFormat="1" x14ac:dyDescent="0.3">
      <c r="B138" s="53"/>
    </row>
    <row r="139" spans="2:2" s="22" customFormat="1" x14ac:dyDescent="0.3">
      <c r="B139" s="53"/>
    </row>
    <row r="140" spans="2:2" s="22" customFormat="1" x14ac:dyDescent="0.3">
      <c r="B140" s="53"/>
    </row>
    <row r="141" spans="2:2" s="22" customFormat="1" x14ac:dyDescent="0.3">
      <c r="B141" s="53"/>
    </row>
    <row r="142" spans="2:2" s="22" customFormat="1" x14ac:dyDescent="0.3">
      <c r="B142" s="53"/>
    </row>
    <row r="143" spans="2:2" s="22" customFormat="1" x14ac:dyDescent="0.3">
      <c r="B143" s="53"/>
    </row>
    <row r="144" spans="2:2" s="22" customFormat="1" x14ac:dyDescent="0.3">
      <c r="B144" s="53"/>
    </row>
    <row r="145" spans="2:2" s="22" customFormat="1" x14ac:dyDescent="0.3">
      <c r="B145" s="53"/>
    </row>
    <row r="146" spans="2:2" s="22" customFormat="1" x14ac:dyDescent="0.3">
      <c r="B146" s="53"/>
    </row>
    <row r="147" spans="2:2" s="22" customFormat="1" x14ac:dyDescent="0.3">
      <c r="B147" s="53"/>
    </row>
    <row r="148" spans="2:2" s="22" customFormat="1" x14ac:dyDescent="0.3">
      <c r="B148" s="53"/>
    </row>
    <row r="149" spans="2:2" s="22" customFormat="1" x14ac:dyDescent="0.3">
      <c r="B149" s="53"/>
    </row>
    <row r="150" spans="2:2" s="22" customFormat="1" x14ac:dyDescent="0.3">
      <c r="B150" s="53"/>
    </row>
    <row r="151" spans="2:2" s="22" customFormat="1" x14ac:dyDescent="0.3">
      <c r="B151" s="53"/>
    </row>
    <row r="152" spans="2:2" s="22" customFormat="1" x14ac:dyDescent="0.3">
      <c r="B152" s="53"/>
    </row>
    <row r="153" spans="2:2" s="22" customFormat="1" x14ac:dyDescent="0.3">
      <c r="B153" s="53"/>
    </row>
    <row r="154" spans="2:2" s="22" customFormat="1" x14ac:dyDescent="0.3">
      <c r="B154" s="53"/>
    </row>
    <row r="155" spans="2:2" s="22" customFormat="1" x14ac:dyDescent="0.3">
      <c r="B155" s="53"/>
    </row>
    <row r="156" spans="2:2" s="22" customFormat="1" x14ac:dyDescent="0.3">
      <c r="B156" s="53"/>
    </row>
    <row r="157" spans="2:2" s="22" customFormat="1" x14ac:dyDescent="0.3">
      <c r="B157" s="53"/>
    </row>
    <row r="158" spans="2:2" s="22" customFormat="1" x14ac:dyDescent="0.3">
      <c r="B158" s="53"/>
    </row>
    <row r="159" spans="2:2" s="22" customFormat="1" x14ac:dyDescent="0.3">
      <c r="B159" s="53"/>
    </row>
    <row r="160" spans="2:2" s="22" customFormat="1" x14ac:dyDescent="0.3">
      <c r="B160" s="53"/>
    </row>
    <row r="161" spans="2:2" s="22" customFormat="1" x14ac:dyDescent="0.3">
      <c r="B161" s="53"/>
    </row>
    <row r="162" spans="2:2" s="22" customFormat="1" x14ac:dyDescent="0.3">
      <c r="B162" s="53"/>
    </row>
    <row r="163" spans="2:2" s="22" customFormat="1" x14ac:dyDescent="0.3">
      <c r="B163" s="53"/>
    </row>
    <row r="164" spans="2:2" s="22" customFormat="1" x14ac:dyDescent="0.3">
      <c r="B164" s="53"/>
    </row>
    <row r="165" spans="2:2" s="22" customFormat="1" x14ac:dyDescent="0.3">
      <c r="B165" s="53"/>
    </row>
    <row r="166" spans="2:2" s="22" customFormat="1" x14ac:dyDescent="0.3">
      <c r="B166" s="53"/>
    </row>
    <row r="167" spans="2:2" s="22" customFormat="1" x14ac:dyDescent="0.3">
      <c r="B167" s="53"/>
    </row>
    <row r="168" spans="2:2" s="22" customFormat="1" x14ac:dyDescent="0.3">
      <c r="B168" s="53"/>
    </row>
    <row r="169" spans="2:2" s="22" customFormat="1" x14ac:dyDescent="0.3">
      <c r="B169" s="53"/>
    </row>
    <row r="170" spans="2:2" s="22" customFormat="1" x14ac:dyDescent="0.3">
      <c r="B170" s="53"/>
    </row>
    <row r="171" spans="2:2" s="22" customFormat="1" x14ac:dyDescent="0.3">
      <c r="B171" s="53"/>
    </row>
    <row r="172" spans="2:2" s="22" customFormat="1" x14ac:dyDescent="0.3">
      <c r="B172" s="53"/>
    </row>
    <row r="173" spans="2:2" s="22" customFormat="1" x14ac:dyDescent="0.3">
      <c r="B173" s="53"/>
    </row>
    <row r="174" spans="2:2" s="22" customFormat="1" x14ac:dyDescent="0.3">
      <c r="B174" s="53"/>
    </row>
    <row r="175" spans="2:2" s="22" customFormat="1" x14ac:dyDescent="0.3">
      <c r="B175" s="53"/>
    </row>
    <row r="176" spans="2:2" s="22" customFormat="1" x14ac:dyDescent="0.3">
      <c r="B176" s="53"/>
    </row>
    <row r="177" spans="2:2" s="22" customFormat="1" x14ac:dyDescent="0.3">
      <c r="B177" s="53"/>
    </row>
    <row r="178" spans="2:2" s="22" customFormat="1" x14ac:dyDescent="0.3">
      <c r="B178" s="53"/>
    </row>
    <row r="179" spans="2:2" s="22" customFormat="1" x14ac:dyDescent="0.3">
      <c r="B179" s="53"/>
    </row>
    <row r="180" spans="2:2" s="22" customFormat="1" x14ac:dyDescent="0.3">
      <c r="B180" s="53"/>
    </row>
    <row r="181" spans="2:2" s="22" customFormat="1" x14ac:dyDescent="0.3">
      <c r="B181" s="53"/>
    </row>
    <row r="182" spans="2:2" s="22" customFormat="1" x14ac:dyDescent="0.3">
      <c r="B182" s="53"/>
    </row>
    <row r="183" spans="2:2" s="22" customFormat="1" x14ac:dyDescent="0.3">
      <c r="B183" s="53"/>
    </row>
    <row r="184" spans="2:2" s="22" customFormat="1" x14ac:dyDescent="0.3">
      <c r="B184" s="53"/>
    </row>
    <row r="185" spans="2:2" s="22" customFormat="1" x14ac:dyDescent="0.3">
      <c r="B185" s="53"/>
    </row>
    <row r="186" spans="2:2" s="22" customFormat="1" x14ac:dyDescent="0.3">
      <c r="B186" s="53"/>
    </row>
    <row r="187" spans="2:2" s="22" customFormat="1" x14ac:dyDescent="0.3">
      <c r="B187" s="53"/>
    </row>
    <row r="188" spans="2:2" s="22" customFormat="1" x14ac:dyDescent="0.3">
      <c r="B188" s="53"/>
    </row>
    <row r="189" spans="2:2" s="22" customFormat="1" x14ac:dyDescent="0.3">
      <c r="B189" s="53"/>
    </row>
    <row r="190" spans="2:2" s="22" customFormat="1" x14ac:dyDescent="0.3">
      <c r="B190" s="53"/>
    </row>
    <row r="191" spans="2:2" s="22" customFormat="1" x14ac:dyDescent="0.3">
      <c r="B191" s="53"/>
    </row>
    <row r="192" spans="2:2" s="22" customFormat="1" x14ac:dyDescent="0.3">
      <c r="B192" s="53"/>
    </row>
    <row r="193" spans="2:2" s="22" customFormat="1" x14ac:dyDescent="0.3">
      <c r="B193" s="53"/>
    </row>
    <row r="194" spans="2:2" s="22" customFormat="1" x14ac:dyDescent="0.3">
      <c r="B194" s="53"/>
    </row>
    <row r="195" spans="2:2" s="22" customFormat="1" x14ac:dyDescent="0.3">
      <c r="B195" s="53"/>
    </row>
    <row r="196" spans="2:2" s="22" customFormat="1" x14ac:dyDescent="0.3">
      <c r="B196" s="53"/>
    </row>
    <row r="197" spans="2:2" s="22" customFormat="1" x14ac:dyDescent="0.3">
      <c r="B197" s="53"/>
    </row>
    <row r="198" spans="2:2" s="22" customFormat="1" x14ac:dyDescent="0.3">
      <c r="B198" s="53"/>
    </row>
    <row r="199" spans="2:2" s="22" customFormat="1" x14ac:dyDescent="0.3">
      <c r="B199" s="53"/>
    </row>
    <row r="200" spans="2:2" s="22" customFormat="1" x14ac:dyDescent="0.3">
      <c r="B200" s="53"/>
    </row>
    <row r="201" spans="2:2" s="22" customFormat="1" x14ac:dyDescent="0.3">
      <c r="B201" s="53"/>
    </row>
    <row r="202" spans="2:2" s="22" customFormat="1" x14ac:dyDescent="0.3">
      <c r="B202" s="53"/>
    </row>
    <row r="203" spans="2:2" s="22" customFormat="1" x14ac:dyDescent="0.3">
      <c r="B203" s="53"/>
    </row>
    <row r="204" spans="2:2" s="22" customFormat="1" x14ac:dyDescent="0.3">
      <c r="B204" s="53"/>
    </row>
    <row r="205" spans="2:2" s="22" customFormat="1" x14ac:dyDescent="0.3">
      <c r="B205" s="53"/>
    </row>
    <row r="206" spans="2:2" s="22" customFormat="1" x14ac:dyDescent="0.3">
      <c r="B206" s="53"/>
    </row>
    <row r="207" spans="2:2" s="22" customFormat="1" x14ac:dyDescent="0.3">
      <c r="B207" s="53"/>
    </row>
    <row r="208" spans="2:2" s="22" customFormat="1" x14ac:dyDescent="0.3">
      <c r="B208" s="53"/>
    </row>
    <row r="209" spans="2:2" s="22" customFormat="1" x14ac:dyDescent="0.3">
      <c r="B209" s="53"/>
    </row>
    <row r="210" spans="2:2" s="22" customFormat="1" x14ac:dyDescent="0.3">
      <c r="B210" s="53"/>
    </row>
    <row r="211" spans="2:2" s="22" customFormat="1" x14ac:dyDescent="0.3">
      <c r="B211" s="53"/>
    </row>
    <row r="212" spans="2:2" s="22" customFormat="1" x14ac:dyDescent="0.3">
      <c r="B212" s="53"/>
    </row>
    <row r="213" spans="2:2" s="22" customFormat="1" x14ac:dyDescent="0.3">
      <c r="B213" s="53"/>
    </row>
    <row r="214" spans="2:2" s="22" customFormat="1" x14ac:dyDescent="0.3">
      <c r="B214" s="53"/>
    </row>
    <row r="215" spans="2:2" s="22" customFormat="1" x14ac:dyDescent="0.3">
      <c r="B215" s="53"/>
    </row>
    <row r="216" spans="2:2" s="22" customFormat="1" x14ac:dyDescent="0.3">
      <c r="B216" s="53"/>
    </row>
    <row r="217" spans="2:2" s="22" customFormat="1" x14ac:dyDescent="0.3">
      <c r="B217" s="53"/>
    </row>
    <row r="218" spans="2:2" s="22" customFormat="1" x14ac:dyDescent="0.3">
      <c r="B218" s="53"/>
    </row>
    <row r="219" spans="2:2" s="22" customFormat="1" x14ac:dyDescent="0.3">
      <c r="B219" s="53"/>
    </row>
    <row r="220" spans="2:2" s="22" customFormat="1" x14ac:dyDescent="0.3">
      <c r="B220" s="53"/>
    </row>
    <row r="221" spans="2:2" s="22" customFormat="1" x14ac:dyDescent="0.3">
      <c r="B221" s="53"/>
    </row>
    <row r="222" spans="2:2" s="22" customFormat="1" x14ac:dyDescent="0.3">
      <c r="B222" s="53"/>
    </row>
    <row r="223" spans="2:2" s="22" customFormat="1" x14ac:dyDescent="0.3">
      <c r="B223" s="53"/>
    </row>
    <row r="224" spans="2:2" s="22" customFormat="1" x14ac:dyDescent="0.3">
      <c r="B224" s="53"/>
    </row>
    <row r="225" spans="2:2" s="22" customFormat="1" x14ac:dyDescent="0.3">
      <c r="B225" s="53"/>
    </row>
    <row r="226" spans="2:2" s="22" customFormat="1" x14ac:dyDescent="0.3">
      <c r="B226" s="53"/>
    </row>
    <row r="227" spans="2:2" s="22" customFormat="1" x14ac:dyDescent="0.3">
      <c r="B227" s="53"/>
    </row>
    <row r="228" spans="2:2" s="22" customFormat="1" x14ac:dyDescent="0.3">
      <c r="B228" s="53"/>
    </row>
    <row r="229" spans="2:2" s="22" customFormat="1" x14ac:dyDescent="0.3">
      <c r="B229" s="53"/>
    </row>
    <row r="230" spans="2:2" s="22" customFormat="1" x14ac:dyDescent="0.3">
      <c r="B230" s="53"/>
    </row>
    <row r="231" spans="2:2" s="22" customFormat="1" x14ac:dyDescent="0.3">
      <c r="B231" s="53"/>
    </row>
    <row r="232" spans="2:2" s="22" customFormat="1" x14ac:dyDescent="0.3">
      <c r="B232" s="53"/>
    </row>
    <row r="233" spans="2:2" s="22" customFormat="1" x14ac:dyDescent="0.3">
      <c r="B233" s="53"/>
    </row>
    <row r="234" spans="2:2" s="22" customFormat="1" x14ac:dyDescent="0.3">
      <c r="B234" s="53"/>
    </row>
    <row r="235" spans="2:2" s="22" customFormat="1" x14ac:dyDescent="0.3">
      <c r="B235" s="53"/>
    </row>
    <row r="236" spans="2:2" s="22" customFormat="1" x14ac:dyDescent="0.3">
      <c r="B236" s="53"/>
    </row>
    <row r="237" spans="2:2" s="22" customFormat="1" x14ac:dyDescent="0.3">
      <c r="B237" s="53"/>
    </row>
    <row r="238" spans="2:2" s="22" customFormat="1" x14ac:dyDescent="0.3">
      <c r="B238" s="53"/>
    </row>
    <row r="239" spans="2:2" s="22" customFormat="1" x14ac:dyDescent="0.3">
      <c r="B239" s="53"/>
    </row>
    <row r="240" spans="2:2" s="22" customFormat="1" x14ac:dyDescent="0.3">
      <c r="B240" s="53"/>
    </row>
    <row r="241" spans="2:2" s="22" customFormat="1" x14ac:dyDescent="0.3">
      <c r="B241" s="53"/>
    </row>
    <row r="242" spans="2:2" s="22" customFormat="1" x14ac:dyDescent="0.3">
      <c r="B242" s="53"/>
    </row>
    <row r="243" spans="2:2" s="22" customFormat="1" x14ac:dyDescent="0.3">
      <c r="B243" s="53"/>
    </row>
    <row r="244" spans="2:2" s="22" customFormat="1" x14ac:dyDescent="0.3">
      <c r="B244" s="53"/>
    </row>
    <row r="245" spans="2:2" s="22" customFormat="1" x14ac:dyDescent="0.3">
      <c r="B245" s="53"/>
    </row>
    <row r="246" spans="2:2" s="22" customFormat="1" x14ac:dyDescent="0.3">
      <c r="B246" s="53"/>
    </row>
    <row r="247" spans="2:2" s="22" customFormat="1" x14ac:dyDescent="0.3">
      <c r="B247" s="53"/>
    </row>
    <row r="248" spans="2:2" s="22" customFormat="1" x14ac:dyDescent="0.3">
      <c r="B248" s="53"/>
    </row>
    <row r="249" spans="2:2" s="22" customFormat="1" x14ac:dyDescent="0.3">
      <c r="B249" s="53"/>
    </row>
    <row r="250" spans="2:2" s="22" customFormat="1" x14ac:dyDescent="0.3">
      <c r="B250" s="53"/>
    </row>
    <row r="251" spans="2:2" s="22" customFormat="1" x14ac:dyDescent="0.3">
      <c r="B251" s="53"/>
    </row>
    <row r="252" spans="2:2" s="22" customFormat="1" x14ac:dyDescent="0.3">
      <c r="B252" s="53"/>
    </row>
    <row r="253" spans="2:2" s="22" customFormat="1" x14ac:dyDescent="0.3">
      <c r="B253" s="53"/>
    </row>
    <row r="254" spans="2:2" s="22" customFormat="1" x14ac:dyDescent="0.3">
      <c r="B254" s="53"/>
    </row>
    <row r="255" spans="2:2" s="22" customFormat="1" x14ac:dyDescent="0.3">
      <c r="B255" s="53"/>
    </row>
    <row r="256" spans="2:2" s="22" customFormat="1" x14ac:dyDescent="0.3">
      <c r="B256" s="53"/>
    </row>
    <row r="257" spans="2:2" s="22" customFormat="1" x14ac:dyDescent="0.3">
      <c r="B257" s="53"/>
    </row>
    <row r="258" spans="2:2" s="22" customFormat="1" x14ac:dyDescent="0.3">
      <c r="B258" s="53"/>
    </row>
    <row r="259" spans="2:2" s="22" customFormat="1" x14ac:dyDescent="0.3">
      <c r="B259" s="53"/>
    </row>
    <row r="260" spans="2:2" s="22" customFormat="1" x14ac:dyDescent="0.3">
      <c r="B260" s="53"/>
    </row>
    <row r="261" spans="2:2" s="22" customFormat="1" x14ac:dyDescent="0.3">
      <c r="B261" s="53"/>
    </row>
    <row r="262" spans="2:2" s="22" customFormat="1" x14ac:dyDescent="0.3">
      <c r="B262" s="53"/>
    </row>
    <row r="263" spans="2:2" s="22" customFormat="1" x14ac:dyDescent="0.3">
      <c r="B263" s="53"/>
    </row>
    <row r="264" spans="2:2" s="22" customFormat="1" x14ac:dyDescent="0.3">
      <c r="B264" s="53"/>
    </row>
    <row r="265" spans="2:2" s="22" customFormat="1" x14ac:dyDescent="0.3">
      <c r="B265" s="53"/>
    </row>
    <row r="266" spans="2:2" s="22" customFormat="1" x14ac:dyDescent="0.3">
      <c r="B266" s="53"/>
    </row>
    <row r="267" spans="2:2" s="22" customFormat="1" x14ac:dyDescent="0.3">
      <c r="B267" s="53"/>
    </row>
    <row r="268" spans="2:2" s="22" customFormat="1" x14ac:dyDescent="0.3">
      <c r="B268" s="53"/>
    </row>
    <row r="269" spans="2:2" s="22" customFormat="1" x14ac:dyDescent="0.3">
      <c r="B269" s="53"/>
    </row>
    <row r="270" spans="2:2" s="22" customFormat="1" x14ac:dyDescent="0.3">
      <c r="B270" s="53"/>
    </row>
    <row r="271" spans="2:2" s="22" customFormat="1" x14ac:dyDescent="0.3">
      <c r="B271" s="53"/>
    </row>
    <row r="272" spans="2:2" s="22" customFormat="1" x14ac:dyDescent="0.3">
      <c r="B272" s="53"/>
    </row>
    <row r="273" spans="2:2" s="22" customFormat="1" x14ac:dyDescent="0.3">
      <c r="B273" s="53"/>
    </row>
    <row r="274" spans="2:2" s="22" customFormat="1" x14ac:dyDescent="0.3">
      <c r="B274" s="53"/>
    </row>
    <row r="275" spans="2:2" s="22" customFormat="1" x14ac:dyDescent="0.3">
      <c r="B275" s="53"/>
    </row>
    <row r="276" spans="2:2" s="22" customFormat="1" x14ac:dyDescent="0.3">
      <c r="B276" s="53"/>
    </row>
    <row r="277" spans="2:2" s="22" customFormat="1" x14ac:dyDescent="0.3">
      <c r="B277" s="53"/>
    </row>
    <row r="278" spans="2:2" s="22" customFormat="1" x14ac:dyDescent="0.3">
      <c r="B278" s="53"/>
    </row>
    <row r="279" spans="2:2" s="22" customFormat="1" x14ac:dyDescent="0.3">
      <c r="B279" s="53"/>
    </row>
    <row r="280" spans="2:2" s="22" customFormat="1" x14ac:dyDescent="0.3">
      <c r="B280" s="53"/>
    </row>
    <row r="281" spans="2:2" s="22" customFormat="1" x14ac:dyDescent="0.3">
      <c r="B281" s="53"/>
    </row>
    <row r="282" spans="2:2" s="22" customFormat="1" x14ac:dyDescent="0.3">
      <c r="B282" s="53"/>
    </row>
    <row r="283" spans="2:2" s="22" customFormat="1" x14ac:dyDescent="0.3">
      <c r="B283" s="53"/>
    </row>
    <row r="284" spans="2:2" s="22" customFormat="1" x14ac:dyDescent="0.3">
      <c r="B284" s="53"/>
    </row>
    <row r="285" spans="2:2" s="22" customFormat="1" x14ac:dyDescent="0.3">
      <c r="B285" s="53"/>
    </row>
    <row r="286" spans="2:2" s="22" customFormat="1" x14ac:dyDescent="0.3">
      <c r="B286" s="53"/>
    </row>
    <row r="287" spans="2:2" s="22" customFormat="1" x14ac:dyDescent="0.3">
      <c r="B287" s="53"/>
    </row>
  </sheetData>
  <mergeCells count="1">
    <mergeCell ref="C3:F3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B46AE-29CB-4A73-930B-18C524D2F4E1}">
  <dimension ref="A1:R84"/>
  <sheetViews>
    <sheetView topLeftCell="I39" workbookViewId="0">
      <selection activeCell="J44" sqref="J44"/>
    </sheetView>
  </sheetViews>
  <sheetFormatPr defaultRowHeight="15" customHeight="1" x14ac:dyDescent="0.3"/>
  <cols>
    <col min="1" max="1" width="20.44140625" hidden="1" customWidth="1"/>
    <col min="2" max="2" width="15.33203125" hidden="1" customWidth="1"/>
    <col min="3" max="3" width="10" hidden="1" customWidth="1"/>
    <col min="4" max="4" width="11.44140625" hidden="1" customWidth="1"/>
    <col min="5" max="5" width="20.33203125" hidden="1" customWidth="1"/>
    <col min="6" max="6" width="14.109375" hidden="1" customWidth="1"/>
    <col min="7" max="7" width="0" hidden="1" customWidth="1"/>
    <col min="8" max="8" width="0" style="64" hidden="1" customWidth="1"/>
    <col min="9" max="9" width="36.5546875" bestFit="1" customWidth="1"/>
    <col min="10" max="10" width="19.5546875" bestFit="1" customWidth="1"/>
    <col min="11" max="11" width="11.6640625" customWidth="1"/>
    <col min="12" max="12" width="15.5546875" customWidth="1"/>
    <col min="14" max="14" width="21.33203125" customWidth="1"/>
    <col min="15" max="15" width="17.6640625" customWidth="1"/>
    <col min="16" max="16" width="11.5546875" customWidth="1"/>
    <col min="18" max="18" width="15.88671875" customWidth="1"/>
  </cols>
  <sheetData>
    <row r="1" spans="1:18" ht="15" customHeight="1" thickBot="1" x14ac:dyDescent="0.35">
      <c r="I1" s="66" t="s">
        <v>192</v>
      </c>
    </row>
    <row r="2" spans="1:18" thickBot="1" x14ac:dyDescent="0.35">
      <c r="A2" t="s">
        <v>146</v>
      </c>
      <c r="B2" s="406" t="s">
        <v>147</v>
      </c>
      <c r="C2" s="407"/>
      <c r="D2" s="408"/>
      <c r="F2" s="406" t="s">
        <v>148</v>
      </c>
      <c r="G2" s="408"/>
      <c r="I2" s="63" t="s">
        <v>193</v>
      </c>
      <c r="J2" s="406" t="s">
        <v>147</v>
      </c>
      <c r="K2" s="407"/>
      <c r="L2" s="408"/>
      <c r="O2" s="406" t="s">
        <v>148</v>
      </c>
      <c r="P2" s="408"/>
      <c r="R2" s="106" t="s">
        <v>194</v>
      </c>
    </row>
    <row r="3" spans="1:18" ht="14.4" x14ac:dyDescent="0.3">
      <c r="C3" s="2" t="s">
        <v>149</v>
      </c>
      <c r="K3" s="68" t="s">
        <v>149</v>
      </c>
    </row>
    <row r="4" spans="1:18" ht="14.4" x14ac:dyDescent="0.3">
      <c r="B4" s="2" t="s">
        <v>19</v>
      </c>
      <c r="C4">
        <v>8.6899999999999998E-5</v>
      </c>
      <c r="D4" s="2" t="s">
        <v>151</v>
      </c>
      <c r="F4" s="2" t="str">
        <f>B4</f>
        <v>IDR</v>
      </c>
      <c r="G4" s="2" t="str">
        <f>D4</f>
        <v>SGD</v>
      </c>
      <c r="J4" t="s">
        <v>19</v>
      </c>
      <c r="K4" s="68">
        <v>8.0000000000000007E-5</v>
      </c>
      <c r="L4" s="2" t="s">
        <v>151</v>
      </c>
      <c r="O4" s="2" t="s">
        <v>19</v>
      </c>
      <c r="P4" s="2" t="s">
        <v>151</v>
      </c>
    </row>
    <row r="5" spans="1:18" ht="14.4" x14ac:dyDescent="0.3">
      <c r="A5" s="1" t="s">
        <v>152</v>
      </c>
      <c r="B5" s="3">
        <v>0</v>
      </c>
      <c r="C5" s="3"/>
      <c r="D5" s="3">
        <f>$B5*$C$4</f>
        <v>0</v>
      </c>
      <c r="E5" s="1" t="s">
        <v>152</v>
      </c>
      <c r="F5" s="4">
        <f>B5</f>
        <v>0</v>
      </c>
      <c r="G5" s="4">
        <f>D5</f>
        <v>0</v>
      </c>
      <c r="I5" s="1" t="s">
        <v>207</v>
      </c>
      <c r="J5" s="3">
        <v>1302667549</v>
      </c>
      <c r="K5" s="3"/>
      <c r="L5" s="3">
        <f>J5*$K$4</f>
        <v>104213.40392000001</v>
      </c>
      <c r="N5" s="1" t="s">
        <v>152</v>
      </c>
      <c r="O5" s="4">
        <f>J5</f>
        <v>1302667549</v>
      </c>
      <c r="P5" s="4">
        <f>O5*$K$4</f>
        <v>104213.40392000001</v>
      </c>
    </row>
    <row r="6" spans="1:18" ht="14.4" x14ac:dyDescent="0.3">
      <c r="A6" t="s">
        <v>153</v>
      </c>
      <c r="B6" s="35">
        <v>242448073.87</v>
      </c>
      <c r="C6" s="3"/>
      <c r="D6" s="3">
        <f t="shared" ref="D6:D7" si="0">$B6*$C$4</f>
        <v>21068.737619303</v>
      </c>
      <c r="E6" t="s">
        <v>153</v>
      </c>
      <c r="F6" s="4">
        <f t="shared" ref="F6:F7" si="1">B6</f>
        <v>242448073.87</v>
      </c>
      <c r="G6" s="4">
        <f>D6</f>
        <v>21068.737619303</v>
      </c>
      <c r="I6" t="s">
        <v>153</v>
      </c>
      <c r="J6" s="35">
        <v>4211928870</v>
      </c>
      <c r="K6" s="3"/>
      <c r="L6" s="3">
        <f>J6*$K$4</f>
        <v>336954.30960000004</v>
      </c>
      <c r="N6" t="s">
        <v>153</v>
      </c>
      <c r="O6" s="4">
        <f>J6</f>
        <v>4211928870</v>
      </c>
      <c r="P6" s="4">
        <f t="shared" ref="P6:P7" si="2">O6*$K$4</f>
        <v>336954.30960000004</v>
      </c>
    </row>
    <row r="7" spans="1:18" ht="14.4" x14ac:dyDescent="0.3">
      <c r="A7" t="s">
        <v>154</v>
      </c>
      <c r="B7" s="3">
        <v>185070325</v>
      </c>
      <c r="C7" s="3"/>
      <c r="D7" s="3">
        <f t="shared" si="0"/>
        <v>16082.611242499999</v>
      </c>
      <c r="E7" t="s">
        <v>154</v>
      </c>
      <c r="F7" s="4">
        <f t="shared" si="1"/>
        <v>185070325</v>
      </c>
      <c r="G7" s="4">
        <f>D7</f>
        <v>16082.611242499999</v>
      </c>
      <c r="I7" t="s">
        <v>154</v>
      </c>
      <c r="J7" s="19">
        <v>306188770</v>
      </c>
      <c r="K7" s="3"/>
      <c r="L7" s="3">
        <f>J7*$K$4</f>
        <v>24495.101600000002</v>
      </c>
      <c r="N7" t="s">
        <v>154</v>
      </c>
      <c r="O7" s="4">
        <f>J7</f>
        <v>306188770</v>
      </c>
      <c r="P7" s="4">
        <f t="shared" si="2"/>
        <v>24495.101600000002</v>
      </c>
    </row>
    <row r="8" spans="1:18" thickBot="1" x14ac:dyDescent="0.35">
      <c r="A8" t="s">
        <v>155</v>
      </c>
      <c r="B8" s="171">
        <f>B5+B6-B7</f>
        <v>57377748.870000005</v>
      </c>
      <c r="C8" s="5"/>
      <c r="D8" s="171">
        <f>D5+D6-D7</f>
        <v>4986.1263768030003</v>
      </c>
      <c r="E8" t="s">
        <v>155</v>
      </c>
      <c r="F8" s="172">
        <f>B8</f>
        <v>57377748.870000005</v>
      </c>
      <c r="G8" s="172">
        <f>D8</f>
        <v>4986.1263768030003</v>
      </c>
      <c r="I8" t="s">
        <v>208</v>
      </c>
      <c r="J8" s="171">
        <f>J5+J6-J7</f>
        <v>5208407649</v>
      </c>
      <c r="K8" s="5"/>
      <c r="L8" s="171">
        <f>L5+L6-L7</f>
        <v>416672.61192000005</v>
      </c>
      <c r="N8" t="s">
        <v>155</v>
      </c>
      <c r="O8" s="172">
        <f>J8</f>
        <v>5208407649</v>
      </c>
      <c r="P8" s="172">
        <f>M8</f>
        <v>0</v>
      </c>
    </row>
    <row r="9" spans="1:18" thickTop="1" x14ac:dyDescent="0.3"/>
    <row r="10" spans="1:18" ht="14.4" x14ac:dyDescent="0.3">
      <c r="C10">
        <v>9.0000000000000006E-5</v>
      </c>
    </row>
    <row r="11" spans="1:18" ht="14.4" x14ac:dyDescent="0.3">
      <c r="A11" t="s">
        <v>156</v>
      </c>
      <c r="B11" s="3">
        <f>B8</f>
        <v>57377748.870000005</v>
      </c>
      <c r="C11" s="3"/>
      <c r="D11" s="3">
        <f>$B11*$C$10</f>
        <v>5163.9973983000009</v>
      </c>
      <c r="E11" t="s">
        <v>156</v>
      </c>
      <c r="F11" s="4">
        <f>B11</f>
        <v>57377748.870000005</v>
      </c>
      <c r="G11" s="4">
        <f>D11</f>
        <v>5163.9973983000009</v>
      </c>
      <c r="I11" t="s">
        <v>291</v>
      </c>
      <c r="J11" s="3">
        <f>J8</f>
        <v>5208407649</v>
      </c>
      <c r="K11" s="3"/>
      <c r="L11" s="3">
        <f>J11*$K$4</f>
        <v>416672.61192000005</v>
      </c>
      <c r="N11" t="s">
        <v>156</v>
      </c>
      <c r="O11" s="4">
        <f>J11</f>
        <v>5208407649</v>
      </c>
      <c r="P11" s="4">
        <f>O11*$K$4</f>
        <v>416672.61192000005</v>
      </c>
    </row>
    <row r="12" spans="1:18" ht="14.4" x14ac:dyDescent="0.3">
      <c r="A12" t="s">
        <v>153</v>
      </c>
      <c r="B12" s="3">
        <v>1933639419</v>
      </c>
      <c r="C12" s="3"/>
      <c r="D12" s="3">
        <f>$B12*$C$10</f>
        <v>174027.54771000001</v>
      </c>
      <c r="E12" t="s">
        <v>153</v>
      </c>
      <c r="F12" s="4">
        <f>B12</f>
        <v>1933639419</v>
      </c>
      <c r="G12" s="4">
        <f>D12</f>
        <v>174027.54771000001</v>
      </c>
      <c r="I12" t="s">
        <v>153</v>
      </c>
      <c r="J12" s="69">
        <f>'Order Booking &gt; Billing  2026'!C67</f>
        <v>4814468094</v>
      </c>
      <c r="K12" s="3"/>
      <c r="L12" s="3">
        <f>J12*$K$4</f>
        <v>385157.44752000005</v>
      </c>
      <c r="N12" t="s">
        <v>153</v>
      </c>
      <c r="O12" s="4">
        <f>J12</f>
        <v>4814468094</v>
      </c>
      <c r="P12" s="4">
        <f t="shared" ref="P12:P13" si="3">O12*$K$4</f>
        <v>385157.44752000005</v>
      </c>
    </row>
    <row r="13" spans="1:18" ht="14.4" x14ac:dyDescent="0.3">
      <c r="A13" t="s">
        <v>154</v>
      </c>
      <c r="B13" s="3">
        <v>303110068.25</v>
      </c>
      <c r="C13" s="3"/>
      <c r="D13" s="3">
        <f>$B13*$C$10</f>
        <v>27279.9061425</v>
      </c>
      <c r="E13" t="s">
        <v>154</v>
      </c>
      <c r="F13" s="4">
        <f>B13</f>
        <v>303110068.25</v>
      </c>
      <c r="G13" s="4">
        <f>D13</f>
        <v>27279.9061425</v>
      </c>
      <c r="I13" t="s">
        <v>154</v>
      </c>
      <c r="J13" s="65">
        <f>'Sales-MTD'!G4</f>
        <v>202210185</v>
      </c>
      <c r="K13" s="3"/>
      <c r="L13" s="3">
        <f>J13*$K$4</f>
        <v>16176.814800000002</v>
      </c>
      <c r="N13" t="s">
        <v>154</v>
      </c>
      <c r="O13" s="4">
        <f>J13</f>
        <v>202210185</v>
      </c>
      <c r="P13" s="4">
        <f t="shared" si="3"/>
        <v>16176.814800000002</v>
      </c>
    </row>
    <row r="14" spans="1:18" thickBot="1" x14ac:dyDescent="0.35">
      <c r="A14" t="s">
        <v>157</v>
      </c>
      <c r="B14" s="171">
        <f>B11+B12-B13</f>
        <v>1687907099.6199999</v>
      </c>
      <c r="C14" s="3"/>
      <c r="D14" s="171">
        <f>D11+D12-D13</f>
        <v>151911.63896580003</v>
      </c>
      <c r="E14" t="s">
        <v>157</v>
      </c>
      <c r="F14" s="172">
        <f>B14</f>
        <v>1687907099.6199999</v>
      </c>
      <c r="G14" s="172">
        <f>G11+G12-G13</f>
        <v>151911.63896580003</v>
      </c>
      <c r="I14" t="s">
        <v>292</v>
      </c>
      <c r="J14" s="171">
        <f>J11+J12-J13</f>
        <v>9820665558</v>
      </c>
      <c r="K14" s="3"/>
      <c r="L14" s="171">
        <f>L11+L12-L13</f>
        <v>785653.24464000005</v>
      </c>
      <c r="N14" t="s">
        <v>195</v>
      </c>
      <c r="O14" s="172">
        <f>J14</f>
        <v>9820665558</v>
      </c>
      <c r="P14" s="172">
        <f>P11+P12-P13</f>
        <v>785653.24464000005</v>
      </c>
    </row>
    <row r="15" spans="1:18" thickTop="1" x14ac:dyDescent="0.3">
      <c r="B15" s="3">
        <f>'Jun 2025'!C33</f>
        <v>1687907100</v>
      </c>
      <c r="C15" s="3"/>
      <c r="D15" s="3"/>
      <c r="J15" s="3"/>
      <c r="K15" s="3"/>
      <c r="L15" s="3"/>
    </row>
    <row r="16" spans="1:18" ht="14.4" x14ac:dyDescent="0.3">
      <c r="B16" s="3">
        <f>B14-B15</f>
        <v>-0.38000011444091797</v>
      </c>
      <c r="C16" s="3"/>
      <c r="D16" s="3"/>
      <c r="J16" s="3"/>
      <c r="K16" s="3"/>
      <c r="L16" s="3"/>
    </row>
    <row r="17" spans="1:16" ht="14.4" x14ac:dyDescent="0.3">
      <c r="B17" s="3"/>
      <c r="C17">
        <v>8.0000000000000007E-5</v>
      </c>
      <c r="D17" s="3"/>
      <c r="J17" s="3"/>
      <c r="L17" s="3"/>
    </row>
    <row r="18" spans="1:16" ht="14.4" x14ac:dyDescent="0.3">
      <c r="A18" t="s">
        <v>158</v>
      </c>
      <c r="B18" s="3">
        <f>B14</f>
        <v>1687907099.6199999</v>
      </c>
      <c r="C18" s="3"/>
      <c r="D18" s="3">
        <f>D14</f>
        <v>151911.63896580003</v>
      </c>
      <c r="E18" t="str">
        <f>E11</f>
        <v>Backlog @1 Jan 2025</v>
      </c>
      <c r="F18" s="4">
        <f>F11</f>
        <v>57377748.870000005</v>
      </c>
      <c r="G18" s="4">
        <f>G11</f>
        <v>5163.9973983000009</v>
      </c>
      <c r="I18" t="s">
        <v>293</v>
      </c>
      <c r="J18" s="3">
        <f>J14</f>
        <v>9820665558</v>
      </c>
      <c r="K18" s="3"/>
      <c r="L18" s="3">
        <f>J18*$K$4</f>
        <v>785653.24464000005</v>
      </c>
      <c r="N18" t="s">
        <v>196</v>
      </c>
      <c r="O18" s="4">
        <f>O11</f>
        <v>5208407649</v>
      </c>
      <c r="P18" s="4">
        <f>O18*$K$4</f>
        <v>416672.61192000005</v>
      </c>
    </row>
    <row r="19" spans="1:16" ht="14.4" x14ac:dyDescent="0.3">
      <c r="A19" t="s">
        <v>153</v>
      </c>
      <c r="B19" s="3">
        <v>0</v>
      </c>
      <c r="C19" s="3"/>
      <c r="D19" s="3">
        <f>B19*C17</f>
        <v>0</v>
      </c>
      <c r="E19" t="str">
        <f>A19</f>
        <v>Order intake</v>
      </c>
      <c r="F19" s="4">
        <f>F12+B19</f>
        <v>1933639419</v>
      </c>
      <c r="G19" s="4">
        <f>G12+D19</f>
        <v>174027.54771000001</v>
      </c>
      <c r="I19" t="s">
        <v>153</v>
      </c>
      <c r="J19" s="69">
        <f>'Order Booking &gt; Billing  2026'!C68</f>
        <v>293740200</v>
      </c>
      <c r="K19" s="3"/>
      <c r="L19" s="3">
        <f>J19*$K$4</f>
        <v>23499.216</v>
      </c>
      <c r="N19" t="s">
        <v>153</v>
      </c>
      <c r="O19" s="4">
        <f>O12+J19</f>
        <v>5108208294</v>
      </c>
      <c r="P19" s="4">
        <f t="shared" ref="P19:P20" si="4">O19*$K$4</f>
        <v>408656.66352000006</v>
      </c>
    </row>
    <row r="20" spans="1:16" ht="14.4" x14ac:dyDescent="0.3">
      <c r="A20" t="s">
        <v>154</v>
      </c>
      <c r="B20" s="3">
        <v>60905500</v>
      </c>
      <c r="C20" s="3"/>
      <c r="D20" s="3">
        <f>B20*C17</f>
        <v>4872.4400000000005</v>
      </c>
      <c r="E20" t="str">
        <f t="shared" ref="E20:E21" si="5">A20</f>
        <v>Sales</v>
      </c>
      <c r="F20" s="4">
        <f>F13+B20</f>
        <v>364015568.25</v>
      </c>
      <c r="G20" s="4">
        <f>G13+D20</f>
        <v>32152.346142499999</v>
      </c>
      <c r="I20" t="s">
        <v>154</v>
      </c>
      <c r="J20" s="65">
        <f>'Sales-MTD'!G5</f>
        <v>0</v>
      </c>
      <c r="K20" s="3"/>
      <c r="L20" s="3">
        <f>J20*$K$4</f>
        <v>0</v>
      </c>
      <c r="N20" t="s">
        <v>154</v>
      </c>
      <c r="O20" s="4">
        <f>O13+J20</f>
        <v>202210185</v>
      </c>
      <c r="P20" s="4">
        <f t="shared" si="4"/>
        <v>16176.814800000002</v>
      </c>
    </row>
    <row r="21" spans="1:16" thickBot="1" x14ac:dyDescent="0.35">
      <c r="A21" t="s">
        <v>159</v>
      </c>
      <c r="B21" s="171">
        <f>B18+B19-B20</f>
        <v>1627001599.6199999</v>
      </c>
      <c r="C21" s="3"/>
      <c r="D21" s="171">
        <f>D18+D19-D20</f>
        <v>147039.19896580002</v>
      </c>
      <c r="E21" t="str">
        <f t="shared" si="5"/>
        <v>Backlog @30 Jun 2025</v>
      </c>
      <c r="F21" s="172">
        <f>F18+F19-F20</f>
        <v>1627001599.6199999</v>
      </c>
      <c r="G21" s="172">
        <f>G18+G19-G20</f>
        <v>147039.19896580002</v>
      </c>
      <c r="I21" t="s">
        <v>294</v>
      </c>
      <c r="J21" s="171">
        <f>J18+J19-J20</f>
        <v>10114405758</v>
      </c>
      <c r="K21" s="3"/>
      <c r="L21" s="171">
        <f>L18+L19-L20</f>
        <v>809152.46064000006</v>
      </c>
      <c r="N21" t="s">
        <v>197</v>
      </c>
      <c r="O21" s="172">
        <f>O18+O19-O20</f>
        <v>10114405758</v>
      </c>
      <c r="P21" s="172">
        <f>P18+P19-P20</f>
        <v>809152.46064000006</v>
      </c>
    </row>
    <row r="22" spans="1:16" thickTop="1" x14ac:dyDescent="0.3">
      <c r="B22" s="3"/>
      <c r="C22" s="3"/>
      <c r="D22" s="3"/>
      <c r="J22" s="3"/>
      <c r="K22" s="3"/>
      <c r="L22" s="3"/>
    </row>
    <row r="23" spans="1:16" ht="14.4" x14ac:dyDescent="0.3">
      <c r="B23" s="3"/>
      <c r="C23" s="40">
        <f>C17</f>
        <v>8.0000000000000007E-5</v>
      </c>
      <c r="D23" s="3"/>
      <c r="J23" s="3"/>
      <c r="K23" s="40"/>
      <c r="L23" s="3"/>
    </row>
    <row r="24" spans="1:16" ht="14.4" x14ac:dyDescent="0.3">
      <c r="A24" t="s">
        <v>198</v>
      </c>
      <c r="B24" s="3">
        <f>B21</f>
        <v>1627001599.6199999</v>
      </c>
      <c r="C24" s="3"/>
      <c r="D24" s="3">
        <f>D18</f>
        <v>151911.63896580003</v>
      </c>
      <c r="E24" t="str">
        <f>E18</f>
        <v>Backlog @1 Jan 2025</v>
      </c>
      <c r="F24" s="4">
        <f>F18</f>
        <v>57377748.870000005</v>
      </c>
      <c r="G24" s="4">
        <f>G18</f>
        <v>5163.9973983000009</v>
      </c>
      <c r="I24" t="s">
        <v>295</v>
      </c>
      <c r="J24" s="3">
        <f>J21</f>
        <v>10114405758</v>
      </c>
      <c r="K24" s="3"/>
      <c r="L24" s="3">
        <f>J24*$K$4</f>
        <v>809152.46064000006</v>
      </c>
      <c r="N24" t="s">
        <v>199</v>
      </c>
      <c r="O24" s="4">
        <f>O18</f>
        <v>5208407649</v>
      </c>
      <c r="P24" s="4">
        <f>O24*$K$4</f>
        <v>416672.61192000005</v>
      </c>
    </row>
    <row r="25" spans="1:16" ht="14.4" x14ac:dyDescent="0.3">
      <c r="A25" t="s">
        <v>153</v>
      </c>
      <c r="B25" s="3" t="e">
        <f>'Order Booking &gt; Billing  2026'!#REF!</f>
        <v>#REF!</v>
      </c>
      <c r="C25" s="3"/>
      <c r="D25" s="3" t="e">
        <f>B25*C23</f>
        <v>#REF!</v>
      </c>
      <c r="E25" t="str">
        <f>A25</f>
        <v>Order intake</v>
      </c>
      <c r="F25" s="4" t="e">
        <f>F19+B25</f>
        <v>#REF!</v>
      </c>
      <c r="G25" s="4" t="e">
        <f>G19+D25</f>
        <v>#REF!</v>
      </c>
      <c r="I25" t="s">
        <v>153</v>
      </c>
      <c r="J25" s="69">
        <f>'Order Booking &gt; Billing  2026'!C69</f>
        <v>66512292</v>
      </c>
      <c r="K25" s="3"/>
      <c r="L25" s="3">
        <f>J25*$K$4</f>
        <v>5320.9833600000002</v>
      </c>
      <c r="N25" t="s">
        <v>153</v>
      </c>
      <c r="O25" s="4">
        <f>O19+J25</f>
        <v>5174720586</v>
      </c>
      <c r="P25" s="4">
        <f t="shared" ref="P25:P26" si="6">O25*$K$4</f>
        <v>413977.64688000001</v>
      </c>
    </row>
    <row r="26" spans="1:16" ht="14.4" x14ac:dyDescent="0.3">
      <c r="A26" t="s">
        <v>154</v>
      </c>
      <c r="B26" s="3">
        <v>1877340457</v>
      </c>
      <c r="C26" s="3"/>
      <c r="D26" s="3">
        <f>B26*C23</f>
        <v>150187.23656000002</v>
      </c>
      <c r="E26" t="str">
        <f t="shared" ref="E26:E27" si="7">A26</f>
        <v>Sales</v>
      </c>
      <c r="F26" s="4">
        <f>F20+B26</f>
        <v>2241356025.25</v>
      </c>
      <c r="G26" s="4">
        <f>G20+D26</f>
        <v>182339.58270250002</v>
      </c>
      <c r="I26" t="s">
        <v>154</v>
      </c>
      <c r="J26" s="65">
        <f>'Sales-MTD'!G6</f>
        <v>465393580</v>
      </c>
      <c r="K26" s="3"/>
      <c r="L26" s="3">
        <f>J26*$K$4</f>
        <v>37231.486400000002</v>
      </c>
      <c r="N26" t="s">
        <v>154</v>
      </c>
      <c r="O26" s="4">
        <f>O20+J26</f>
        <v>667603765</v>
      </c>
      <c r="P26" s="4">
        <f t="shared" si="6"/>
        <v>53408.301200000002</v>
      </c>
    </row>
    <row r="27" spans="1:16" thickBot="1" x14ac:dyDescent="0.35">
      <c r="A27" t="s">
        <v>200</v>
      </c>
      <c r="B27" s="181" t="e">
        <f>B24+B25-B26</f>
        <v>#REF!</v>
      </c>
      <c r="C27" s="3"/>
      <c r="D27" s="171" t="e">
        <f>D24+D25-D26</f>
        <v>#REF!</v>
      </c>
      <c r="E27" t="str">
        <f t="shared" si="7"/>
        <v>Backlog @31 Jul 2025</v>
      </c>
      <c r="F27" s="172" t="e">
        <f>F24+F25-F26</f>
        <v>#REF!</v>
      </c>
      <c r="G27" s="172" t="e">
        <f>G24+G25-G26</f>
        <v>#REF!</v>
      </c>
      <c r="I27" t="s">
        <v>296</v>
      </c>
      <c r="J27" s="182">
        <f>J24+J25-J26</f>
        <v>9715524470</v>
      </c>
      <c r="K27" s="3"/>
      <c r="L27" s="171">
        <f>L24+L25-L26</f>
        <v>777241.95759999997</v>
      </c>
      <c r="N27" t="s">
        <v>201</v>
      </c>
      <c r="O27" s="172">
        <f>O24+O25-O26</f>
        <v>9715524470</v>
      </c>
      <c r="P27" s="172">
        <f>P24+P25-P26</f>
        <v>777241.95760000008</v>
      </c>
    </row>
    <row r="28" spans="1:16" thickTop="1" x14ac:dyDescent="0.3">
      <c r="B28" s="3" t="e">
        <f>'Order Booking &gt; Billing  2026'!#REF!</f>
        <v>#REF!</v>
      </c>
      <c r="C28" s="3"/>
      <c r="D28" s="3"/>
      <c r="F28" s="4" t="e">
        <f>F27-B27</f>
        <v>#REF!</v>
      </c>
      <c r="J28" s="3"/>
    </row>
    <row r="29" spans="1:16" ht="14.4" x14ac:dyDescent="0.3">
      <c r="B29" s="3" t="e">
        <f>B27-B28</f>
        <v>#REF!</v>
      </c>
      <c r="C29" s="3"/>
      <c r="D29" s="3"/>
    </row>
    <row r="30" spans="1:16" ht="14.4" x14ac:dyDescent="0.3">
      <c r="B30" s="3"/>
      <c r="C30" s="3"/>
      <c r="D30" s="3"/>
      <c r="J30" s="3"/>
      <c r="L30" s="3"/>
    </row>
    <row r="31" spans="1:16" ht="14.4" x14ac:dyDescent="0.3">
      <c r="B31" s="3"/>
      <c r="C31" s="40">
        <f>C23</f>
        <v>8.0000000000000007E-5</v>
      </c>
      <c r="D31" s="3"/>
      <c r="I31" t="s">
        <v>297</v>
      </c>
      <c r="J31" s="3">
        <f>J27</f>
        <v>9715524470</v>
      </c>
      <c r="K31" s="3"/>
      <c r="L31" s="3">
        <f>J31*$K$4</f>
        <v>777241.95760000008</v>
      </c>
      <c r="N31" t="s">
        <v>202</v>
      </c>
      <c r="O31" s="4">
        <f>O24</f>
        <v>5208407649</v>
      </c>
      <c r="P31" s="4">
        <f>O31*$K$4</f>
        <v>416672.61192000005</v>
      </c>
    </row>
    <row r="32" spans="1:16" ht="14.4" x14ac:dyDescent="0.3">
      <c r="A32" t="s">
        <v>198</v>
      </c>
      <c r="B32" s="3">
        <f>B24</f>
        <v>1627001599.6199999</v>
      </c>
      <c r="C32" s="3"/>
      <c r="D32" s="3">
        <f>D26</f>
        <v>150187.23656000002</v>
      </c>
      <c r="E32" t="str">
        <f>E26</f>
        <v>Sales</v>
      </c>
      <c r="F32" s="4">
        <f>F24</f>
        <v>57377748.870000005</v>
      </c>
      <c r="G32" s="4">
        <f>G24</f>
        <v>5163.9973983000009</v>
      </c>
      <c r="I32" t="s">
        <v>153</v>
      </c>
      <c r="J32" s="69">
        <f>'Order Booking &gt; Billing  2026'!C70</f>
        <v>9355281300</v>
      </c>
      <c r="K32" s="3"/>
      <c r="L32" s="3">
        <f>J32*$K$4</f>
        <v>748422.50400000007</v>
      </c>
      <c r="N32" t="s">
        <v>153</v>
      </c>
      <c r="O32" s="4">
        <f>O25+J32</f>
        <v>14530001886</v>
      </c>
      <c r="P32" s="4">
        <f t="shared" ref="P32:P33" si="8">O32*$K$4</f>
        <v>1162400.1508800001</v>
      </c>
    </row>
    <row r="33" spans="1:16" ht="14.4" x14ac:dyDescent="0.3">
      <c r="A33" t="s">
        <v>153</v>
      </c>
      <c r="B33" s="3"/>
      <c r="C33" s="3"/>
      <c r="D33" s="3">
        <f>B33*C31</f>
        <v>0</v>
      </c>
      <c r="E33" t="str">
        <f>A33</f>
        <v>Order intake</v>
      </c>
      <c r="F33" s="4" t="e">
        <f>F25+B33</f>
        <v>#REF!</v>
      </c>
      <c r="G33" s="4" t="e">
        <f>G25+D33</f>
        <v>#REF!</v>
      </c>
      <c r="I33" t="s">
        <v>154</v>
      </c>
      <c r="J33" s="65">
        <f>'Sales-MTD'!G7</f>
        <v>301208000</v>
      </c>
      <c r="K33" s="3"/>
      <c r="L33" s="3">
        <f>J33*$K$4</f>
        <v>24096.640000000003</v>
      </c>
      <c r="N33" t="s">
        <v>154</v>
      </c>
      <c r="O33" s="4">
        <f>O26+J33</f>
        <v>968811765</v>
      </c>
      <c r="P33" s="4">
        <f t="shared" si="8"/>
        <v>77504.941200000001</v>
      </c>
    </row>
    <row r="34" spans="1:16" thickBot="1" x14ac:dyDescent="0.35">
      <c r="A34" t="s">
        <v>154</v>
      </c>
      <c r="B34" s="3"/>
      <c r="C34" s="3"/>
      <c r="D34" s="3">
        <f>B34*C31</f>
        <v>0</v>
      </c>
      <c r="E34" t="str">
        <f t="shared" ref="E34:E35" si="9">A34</f>
        <v>Sales</v>
      </c>
      <c r="F34" s="4">
        <f>F26+B34</f>
        <v>2241356025.25</v>
      </c>
      <c r="G34" s="4">
        <f>G26+D34</f>
        <v>182339.58270250002</v>
      </c>
      <c r="I34" t="s">
        <v>298</v>
      </c>
      <c r="J34" s="171">
        <f>J31+J32-J33</f>
        <v>18769597770</v>
      </c>
      <c r="K34" s="3"/>
      <c r="L34" s="171">
        <f>L31+L32-L33</f>
        <v>1501567.8216000001</v>
      </c>
      <c r="N34" t="s">
        <v>203</v>
      </c>
      <c r="O34" s="172">
        <f>O31+O32-O33</f>
        <v>18769597770</v>
      </c>
      <c r="P34" s="172">
        <f>P31+P32-P33</f>
        <v>1501567.8216000001</v>
      </c>
    </row>
    <row r="35" spans="1:16" ht="15.6" thickTop="1" thickBot="1" x14ac:dyDescent="0.35">
      <c r="A35" t="s">
        <v>200</v>
      </c>
      <c r="B35" s="171">
        <f>B32+B33-B34</f>
        <v>1627001599.6199999</v>
      </c>
      <c r="C35" s="3"/>
      <c r="D35" s="171">
        <f>D32+D33-D34</f>
        <v>150187.23656000002</v>
      </c>
      <c r="E35" t="str">
        <f t="shared" si="9"/>
        <v>Backlog @31 Jul 2025</v>
      </c>
      <c r="F35" s="172" t="e">
        <f>F32+F33-F34</f>
        <v>#REF!</v>
      </c>
      <c r="G35" s="172" t="e">
        <f>G32+G33-G34</f>
        <v>#REF!</v>
      </c>
      <c r="J35" s="3"/>
      <c r="K35" s="3"/>
      <c r="L35" s="3"/>
    </row>
    <row r="36" spans="1:16" thickTop="1" x14ac:dyDescent="0.3">
      <c r="B36" s="3"/>
      <c r="C36" s="3"/>
      <c r="D36" s="3"/>
      <c r="F36" s="4" t="e">
        <f>F35-B35</f>
        <v>#REF!</v>
      </c>
      <c r="J36" s="3"/>
      <c r="K36" s="40"/>
      <c r="L36" s="3"/>
    </row>
    <row r="37" spans="1:16" ht="14.4" x14ac:dyDescent="0.3">
      <c r="B37" s="3"/>
      <c r="C37" s="3"/>
      <c r="D37" s="3"/>
      <c r="I37" t="s">
        <v>299</v>
      </c>
      <c r="J37" s="3">
        <f>J34</f>
        <v>18769597770</v>
      </c>
      <c r="K37" s="3"/>
      <c r="L37" s="3">
        <f>J37*$K$4</f>
        <v>1501567.8216000001</v>
      </c>
      <c r="N37" t="s">
        <v>204</v>
      </c>
      <c r="O37" s="4">
        <f>O31</f>
        <v>5208407649</v>
      </c>
      <c r="P37" s="4">
        <f>O37*$K$4</f>
        <v>416672.61192000005</v>
      </c>
    </row>
    <row r="38" spans="1:16" ht="14.4" x14ac:dyDescent="0.3">
      <c r="B38" s="3"/>
      <c r="C38" s="3"/>
      <c r="D38" s="3"/>
      <c r="I38" t="s">
        <v>153</v>
      </c>
      <c r="J38" s="69">
        <f>'Order Booking &gt; Billing  2026'!C71</f>
        <v>864348410</v>
      </c>
      <c r="K38" s="3"/>
      <c r="L38" s="3">
        <f>J38*$K$4</f>
        <v>69147.872800000012</v>
      </c>
      <c r="N38" t="s">
        <v>153</v>
      </c>
      <c r="O38" s="4">
        <f>O32+J38</f>
        <v>15394350296</v>
      </c>
      <c r="P38" s="4">
        <f t="shared" ref="P38:P39" si="10">O38*$K$4</f>
        <v>1231548.0236800001</v>
      </c>
    </row>
    <row r="39" spans="1:16" ht="14.4" x14ac:dyDescent="0.3">
      <c r="B39" s="3"/>
      <c r="C39" s="3"/>
      <c r="D39" s="3"/>
      <c r="I39" t="s">
        <v>154</v>
      </c>
      <c r="J39" s="3">
        <f>'Sales-MTD'!G8</f>
        <v>357633554</v>
      </c>
      <c r="K39" s="3"/>
      <c r="L39" s="3">
        <f>J39*$K$4</f>
        <v>28610.684320000004</v>
      </c>
      <c r="N39" t="s">
        <v>154</v>
      </c>
      <c r="O39" s="4">
        <f>O33+J39</f>
        <v>1326445319</v>
      </c>
      <c r="P39" s="4">
        <f t="shared" si="10"/>
        <v>106115.62552</v>
      </c>
    </row>
    <row r="40" spans="1:16" thickBot="1" x14ac:dyDescent="0.35">
      <c r="B40" s="3"/>
      <c r="C40" s="3"/>
      <c r="D40" s="3"/>
      <c r="I40" t="s">
        <v>300</v>
      </c>
      <c r="J40" s="182">
        <f>J37+J38-J39</f>
        <v>19276312626</v>
      </c>
      <c r="K40" s="3"/>
      <c r="L40" s="171">
        <f>L37+L38-L39</f>
        <v>1542105.0100800002</v>
      </c>
      <c r="N40" t="s">
        <v>157</v>
      </c>
      <c r="O40" s="172">
        <f>O37+O38-O39</f>
        <v>19276312626</v>
      </c>
      <c r="P40" s="172">
        <f>P37+P38-P39</f>
        <v>1542105.0100800002</v>
      </c>
    </row>
    <row r="41" spans="1:16" thickTop="1" x14ac:dyDescent="0.3">
      <c r="B41" s="3"/>
      <c r="C41" s="3"/>
      <c r="D41" s="3"/>
      <c r="J41" s="43"/>
      <c r="L41" s="43"/>
    </row>
    <row r="42" spans="1:16" ht="14.4" x14ac:dyDescent="0.3">
      <c r="B42" s="3"/>
      <c r="C42" s="3"/>
      <c r="D42" s="3"/>
      <c r="J42" s="3"/>
      <c r="L42" s="3"/>
    </row>
    <row r="43" spans="1:16" ht="14.4" x14ac:dyDescent="0.3">
      <c r="B43" s="3"/>
      <c r="C43" s="3"/>
      <c r="D43" s="3"/>
      <c r="I43" t="s">
        <v>301</v>
      </c>
      <c r="J43" s="3">
        <f>J40</f>
        <v>19276312626</v>
      </c>
      <c r="K43" s="3"/>
      <c r="L43" s="3">
        <f>J43*$K$4</f>
        <v>1542105.0100800002</v>
      </c>
      <c r="N43" t="s">
        <v>158</v>
      </c>
      <c r="O43" s="4">
        <f>O37</f>
        <v>5208407649</v>
      </c>
      <c r="P43" s="4">
        <f>O43*$K$4</f>
        <v>416672.61192000005</v>
      </c>
    </row>
    <row r="44" spans="1:16" ht="14.4" x14ac:dyDescent="0.3">
      <c r="B44" s="3"/>
      <c r="C44" s="3"/>
      <c r="D44" s="3"/>
      <c r="I44" t="s">
        <v>153</v>
      </c>
      <c r="J44" s="69">
        <f>'Order Booking &gt; Billing  2026'!C72</f>
        <v>309884000</v>
      </c>
      <c r="K44" s="3"/>
      <c r="L44" s="3">
        <f>J44*$K$4</f>
        <v>24790.720000000001</v>
      </c>
      <c r="N44" t="s">
        <v>153</v>
      </c>
      <c r="O44" s="4">
        <f>O38+J44</f>
        <v>15704234296</v>
      </c>
      <c r="P44" s="4">
        <f t="shared" ref="P44:P45" si="11">O44*$K$4</f>
        <v>1256338.7436800001</v>
      </c>
    </row>
    <row r="45" spans="1:16" ht="14.4" x14ac:dyDescent="0.3">
      <c r="B45" s="3"/>
      <c r="C45" s="3"/>
      <c r="D45" s="3"/>
      <c r="I45" t="s">
        <v>154</v>
      </c>
      <c r="J45" s="65">
        <f>'Sales-MTD'!G9</f>
        <v>648311124</v>
      </c>
      <c r="K45" s="3"/>
      <c r="L45" s="3">
        <f>J45*$K$4</f>
        <v>51864.889920000001</v>
      </c>
      <c r="N45" t="s">
        <v>154</v>
      </c>
      <c r="O45" s="4">
        <f>O39+J45</f>
        <v>1974756443</v>
      </c>
      <c r="P45" s="4">
        <f t="shared" si="11"/>
        <v>157980.51544000002</v>
      </c>
    </row>
    <row r="46" spans="1:16" thickBot="1" x14ac:dyDescent="0.35">
      <c r="B46" s="3"/>
      <c r="C46" s="3"/>
      <c r="D46" s="3"/>
      <c r="I46" t="s">
        <v>302</v>
      </c>
      <c r="J46" s="171">
        <f>J43+J44-J45</f>
        <v>18937885502</v>
      </c>
      <c r="K46" s="3"/>
      <c r="L46" s="171">
        <f>L43+L44-L45</f>
        <v>1515030.8401600001</v>
      </c>
      <c r="N46" t="s">
        <v>159</v>
      </c>
      <c r="O46" s="172">
        <f>O43+O44-O45</f>
        <v>18937885502</v>
      </c>
      <c r="P46" s="172">
        <f>P43+P44-P45</f>
        <v>1515030.8401600001</v>
      </c>
    </row>
    <row r="47" spans="1:16" thickTop="1" x14ac:dyDescent="0.3">
      <c r="B47" s="3"/>
      <c r="C47" s="3"/>
      <c r="D47" s="3"/>
      <c r="J47" s="3"/>
      <c r="K47" s="3"/>
      <c r="L47" s="3"/>
    </row>
    <row r="48" spans="1:16" ht="14.4" x14ac:dyDescent="0.3">
      <c r="B48" s="3"/>
      <c r="C48" s="3"/>
      <c r="D48" s="3"/>
      <c r="J48" s="3"/>
      <c r="K48" s="40"/>
      <c r="L48" s="3"/>
    </row>
    <row r="49" spans="2:18" ht="14.4" x14ac:dyDescent="0.3">
      <c r="B49" s="3"/>
      <c r="C49" s="3"/>
      <c r="D49" s="3"/>
      <c r="I49" t="s">
        <v>303</v>
      </c>
      <c r="J49" s="3">
        <f>J46</f>
        <v>18937885502</v>
      </c>
      <c r="K49" s="3"/>
      <c r="L49" s="3">
        <f>J49*$K$4</f>
        <v>1515030.8401600001</v>
      </c>
      <c r="N49" t="s">
        <v>198</v>
      </c>
      <c r="O49" s="4">
        <f>O43</f>
        <v>5208407649</v>
      </c>
      <c r="P49" s="4">
        <f>O49*$K$4</f>
        <v>416672.61192000005</v>
      </c>
    </row>
    <row r="50" spans="2:18" ht="14.4" x14ac:dyDescent="0.3">
      <c r="B50" s="3"/>
      <c r="C50" s="3"/>
      <c r="D50" s="3"/>
      <c r="I50" t="s">
        <v>153</v>
      </c>
      <c r="J50" s="69">
        <f>'Order Booking &gt; Billing  2026'!C73</f>
        <v>0</v>
      </c>
      <c r="K50" s="3"/>
      <c r="L50" s="3">
        <f>J50*$K$4</f>
        <v>0</v>
      </c>
      <c r="N50" t="s">
        <v>153</v>
      </c>
      <c r="O50" s="4">
        <f>O44+J50</f>
        <v>15704234296</v>
      </c>
      <c r="P50" s="4">
        <f t="shared" ref="P50:P51" si="12">O50*$K$4</f>
        <v>1256338.7436800001</v>
      </c>
    </row>
    <row r="51" spans="2:18" ht="14.4" x14ac:dyDescent="0.3">
      <c r="B51" s="3"/>
      <c r="C51" s="3"/>
      <c r="D51" s="3"/>
      <c r="I51" t="s">
        <v>154</v>
      </c>
      <c r="J51" s="65">
        <f>'Sales-MTD'!G10</f>
        <v>0</v>
      </c>
      <c r="K51" s="3"/>
      <c r="L51" s="3">
        <f>J51*$K$4</f>
        <v>0</v>
      </c>
      <c r="N51" t="s">
        <v>154</v>
      </c>
      <c r="O51" s="67">
        <f>O45+J51</f>
        <v>1974756443</v>
      </c>
      <c r="P51" s="4">
        <f t="shared" si="12"/>
        <v>157980.51544000002</v>
      </c>
    </row>
    <row r="52" spans="2:18" thickBot="1" x14ac:dyDescent="0.35">
      <c r="B52" s="3"/>
      <c r="C52" s="3"/>
      <c r="D52" s="3"/>
      <c r="I52" t="s">
        <v>304</v>
      </c>
      <c r="J52" s="182">
        <f>J49+J50-J51</f>
        <v>18937885502</v>
      </c>
      <c r="K52" s="3"/>
      <c r="L52" s="171">
        <f>L49+L50-L51</f>
        <v>1515030.8401600001</v>
      </c>
      <c r="N52" t="s">
        <v>200</v>
      </c>
      <c r="O52" s="183">
        <f>O49+O50-O51</f>
        <v>18937885502</v>
      </c>
      <c r="P52" s="172">
        <f>P49+P50-P51</f>
        <v>1515030.8401600001</v>
      </c>
    </row>
    <row r="53" spans="2:18" thickTop="1" x14ac:dyDescent="0.3">
      <c r="B53" s="3"/>
      <c r="C53" s="3"/>
      <c r="D53" s="3"/>
    </row>
    <row r="54" spans="2:18" ht="14.4" x14ac:dyDescent="0.3">
      <c r="B54" s="3"/>
      <c r="C54" s="3"/>
      <c r="D54" s="3"/>
      <c r="I54" s="94" t="s">
        <v>305</v>
      </c>
      <c r="J54" s="95">
        <f>J52</f>
        <v>18937885502</v>
      </c>
      <c r="L54" s="3">
        <f>J54*$K$4</f>
        <v>1515030.8401600001</v>
      </c>
      <c r="N54" t="s">
        <v>205</v>
      </c>
      <c r="O54" s="4">
        <f>O49</f>
        <v>5208407649</v>
      </c>
      <c r="P54" s="4">
        <f>O54*$K$4</f>
        <v>416672.61192000005</v>
      </c>
    </row>
    <row r="55" spans="2:18" ht="14.4" x14ac:dyDescent="0.3">
      <c r="B55" s="3"/>
      <c r="C55" s="3"/>
      <c r="D55" s="3"/>
      <c r="I55" s="94" t="s">
        <v>153</v>
      </c>
      <c r="J55" s="96">
        <f>'QC Reporting '!J8</f>
        <v>0</v>
      </c>
      <c r="L55" s="3">
        <f>J55*$K$4</f>
        <v>0</v>
      </c>
      <c r="N55" t="s">
        <v>153</v>
      </c>
      <c r="O55" s="4">
        <f>O50+J55</f>
        <v>15704234296</v>
      </c>
      <c r="P55" s="4">
        <f t="shared" ref="P55:P56" si="13">O55*$K$4</f>
        <v>1256338.7436800001</v>
      </c>
    </row>
    <row r="56" spans="2:18" ht="14.4" x14ac:dyDescent="0.3">
      <c r="B56" s="3"/>
      <c r="C56" s="3"/>
      <c r="D56" s="3"/>
      <c r="I56" s="94" t="s">
        <v>154</v>
      </c>
      <c r="J56" s="97"/>
      <c r="L56" s="3">
        <f>J56*$K$4</f>
        <v>0</v>
      </c>
      <c r="N56" t="s">
        <v>154</v>
      </c>
      <c r="O56" s="67">
        <f>O51+J56</f>
        <v>1974756443</v>
      </c>
      <c r="P56" s="4">
        <f t="shared" si="13"/>
        <v>157980.51544000002</v>
      </c>
      <c r="R56" s="105">
        <v>530194425</v>
      </c>
    </row>
    <row r="57" spans="2:18" thickBot="1" x14ac:dyDescent="0.35">
      <c r="B57" s="3"/>
      <c r="C57" s="3"/>
      <c r="D57" s="3"/>
      <c r="I57" s="94" t="s">
        <v>306</v>
      </c>
      <c r="J57" s="182">
        <f>J54+J55-J56</f>
        <v>18937885502</v>
      </c>
      <c r="L57" s="171">
        <f>L54+L55-L56</f>
        <v>1515030.8401600001</v>
      </c>
      <c r="N57" s="100" t="s">
        <v>206</v>
      </c>
      <c r="O57" s="183">
        <f>O54+O55-O56</f>
        <v>18937885502</v>
      </c>
      <c r="P57" s="172">
        <f>P54+P55-P56</f>
        <v>1515030.8401600001</v>
      </c>
    </row>
    <row r="58" spans="2:18" thickTop="1" x14ac:dyDescent="0.3">
      <c r="B58" s="3"/>
      <c r="C58" s="3"/>
      <c r="D58" s="3"/>
      <c r="I58" s="94"/>
      <c r="J58" s="94"/>
    </row>
    <row r="59" spans="2:18" ht="14.4" x14ac:dyDescent="0.3">
      <c r="B59" s="3"/>
      <c r="C59" s="3"/>
      <c r="D59" s="3"/>
      <c r="I59" s="94" t="s">
        <v>307</v>
      </c>
      <c r="J59" s="95">
        <f>J57</f>
        <v>18937885502</v>
      </c>
      <c r="L59" s="3">
        <f>J59*$K$4</f>
        <v>1515030.8401600001</v>
      </c>
      <c r="N59" t="s">
        <v>205</v>
      </c>
      <c r="O59" s="4">
        <f>O54</f>
        <v>5208407649</v>
      </c>
      <c r="P59" s="4">
        <f>O59*$K$4</f>
        <v>416672.61192000005</v>
      </c>
    </row>
    <row r="60" spans="2:18" ht="14.4" x14ac:dyDescent="0.3">
      <c r="B60" s="3"/>
      <c r="C60" s="3"/>
      <c r="D60" s="3"/>
      <c r="I60" s="94" t="s">
        <v>153</v>
      </c>
      <c r="J60" s="98">
        <f>'Order Booking &gt; Billing  2026'!C75</f>
        <v>0</v>
      </c>
      <c r="L60" s="3">
        <f>J60*$K$4</f>
        <v>0</v>
      </c>
      <c r="N60" t="s">
        <v>153</v>
      </c>
      <c r="O60" s="4">
        <f>O55+J60</f>
        <v>15704234296</v>
      </c>
      <c r="P60" s="4">
        <f t="shared" ref="P60:P61" si="14">O60*$K$4</f>
        <v>1256338.7436800001</v>
      </c>
    </row>
    <row r="61" spans="2:18" ht="14.4" x14ac:dyDescent="0.3">
      <c r="B61" s="3"/>
      <c r="C61" s="3"/>
      <c r="D61" s="3"/>
      <c r="I61" s="94" t="s">
        <v>154</v>
      </c>
      <c r="J61" s="99">
        <f>'Sales-MTD'!E12</f>
        <v>0</v>
      </c>
      <c r="L61" s="3">
        <f>J61*$K$4</f>
        <v>0</v>
      </c>
      <c r="N61" t="s">
        <v>154</v>
      </c>
      <c r="O61" s="67">
        <f>O56+J61</f>
        <v>1974756443</v>
      </c>
      <c r="P61" s="4">
        <f t="shared" si="14"/>
        <v>157980.51544000002</v>
      </c>
    </row>
    <row r="62" spans="2:18" thickBot="1" x14ac:dyDescent="0.35">
      <c r="B62" s="3"/>
      <c r="C62" s="3"/>
      <c r="D62" s="3"/>
      <c r="I62" s="94" t="s">
        <v>308</v>
      </c>
      <c r="J62" s="182">
        <f>J59+J60-J61</f>
        <v>18937885502</v>
      </c>
      <c r="L62" s="171">
        <f>L59+L60-L61</f>
        <v>1515030.8401600001</v>
      </c>
      <c r="N62" s="100" t="s">
        <v>206</v>
      </c>
      <c r="O62" s="183">
        <f>O59+O60-O61</f>
        <v>18937885502</v>
      </c>
      <c r="P62" s="172">
        <f>P59+P60-P61</f>
        <v>1515030.8401600001</v>
      </c>
    </row>
    <row r="63" spans="2:18" thickTop="1" x14ac:dyDescent="0.3">
      <c r="B63" s="3"/>
      <c r="C63" s="3"/>
      <c r="D63" s="3"/>
      <c r="I63" s="94"/>
      <c r="J63" s="94"/>
    </row>
    <row r="64" spans="2:18" ht="14.4" x14ac:dyDescent="0.3">
      <c r="B64" s="3"/>
      <c r="C64" s="3"/>
      <c r="D64" s="3"/>
      <c r="I64" s="94" t="s">
        <v>309</v>
      </c>
      <c r="J64" s="95">
        <f>J62</f>
        <v>18937885502</v>
      </c>
      <c r="L64" s="3">
        <f>J64*$K$4</f>
        <v>1515030.8401600001</v>
      </c>
    </row>
    <row r="65" spans="2:12" ht="14.4" x14ac:dyDescent="0.3">
      <c r="B65" s="3"/>
      <c r="C65" s="3"/>
      <c r="D65" s="3"/>
      <c r="I65" s="94" t="s">
        <v>153</v>
      </c>
      <c r="J65" s="98">
        <f>'Order Booking &gt; Billing  2026'!C76</f>
        <v>0</v>
      </c>
      <c r="L65" s="3">
        <f>J65*$K$4</f>
        <v>0</v>
      </c>
    </row>
    <row r="66" spans="2:12" ht="14.4" x14ac:dyDescent="0.3">
      <c r="B66" s="3"/>
      <c r="C66" s="3"/>
      <c r="D66" s="3"/>
      <c r="I66" s="94" t="s">
        <v>154</v>
      </c>
      <c r="J66" s="99">
        <f>'Sales-MTD'!E13</f>
        <v>0</v>
      </c>
      <c r="L66" s="3">
        <f>J66*$K$4</f>
        <v>0</v>
      </c>
    </row>
    <row r="67" spans="2:12" thickBot="1" x14ac:dyDescent="0.35">
      <c r="B67" s="3"/>
      <c r="C67" s="3"/>
      <c r="D67" s="3"/>
      <c r="I67" s="94" t="s">
        <v>310</v>
      </c>
      <c r="J67" s="182">
        <f>J64+J65-J66</f>
        <v>18937885502</v>
      </c>
      <c r="L67" s="171">
        <f>L64+L65-L66</f>
        <v>1515030.8401600001</v>
      </c>
    </row>
    <row r="68" spans="2:12" thickTop="1" x14ac:dyDescent="0.3">
      <c r="B68" s="3"/>
      <c r="C68" s="3"/>
      <c r="D68" s="3"/>
      <c r="I68" s="94"/>
      <c r="J68" s="94"/>
    </row>
    <row r="69" spans="2:12" ht="14.4" x14ac:dyDescent="0.3">
      <c r="B69" s="3"/>
      <c r="C69" s="3"/>
      <c r="D69" s="3"/>
      <c r="I69" s="94" t="s">
        <v>311</v>
      </c>
      <c r="J69" s="95">
        <f>J67</f>
        <v>18937885502</v>
      </c>
      <c r="L69" s="3">
        <f>J69*$K$4</f>
        <v>1515030.8401600001</v>
      </c>
    </row>
    <row r="70" spans="2:12" ht="14.4" x14ac:dyDescent="0.3">
      <c r="B70" s="3"/>
      <c r="C70" s="3"/>
      <c r="D70" s="3"/>
      <c r="I70" s="94" t="s">
        <v>153</v>
      </c>
      <c r="J70" s="98">
        <f>'Order Booking &gt; Billing  2026'!C77</f>
        <v>0</v>
      </c>
      <c r="L70" s="3">
        <f>J70*$K$4</f>
        <v>0</v>
      </c>
    </row>
    <row r="71" spans="2:12" ht="14.4" x14ac:dyDescent="0.3">
      <c r="B71" s="3"/>
      <c r="C71" s="3"/>
      <c r="D71" s="3"/>
      <c r="I71" s="94" t="s">
        <v>154</v>
      </c>
      <c r="J71" s="99">
        <f>'Sales-MTD'!E14</f>
        <v>0</v>
      </c>
      <c r="L71" s="3">
        <f>J71*$K$4</f>
        <v>0</v>
      </c>
    </row>
    <row r="72" spans="2:12" thickBot="1" x14ac:dyDescent="0.35">
      <c r="B72" s="3"/>
      <c r="C72" s="3"/>
      <c r="D72" s="3"/>
      <c r="I72" s="94" t="s">
        <v>312</v>
      </c>
      <c r="J72" s="182">
        <f>J69+J70-J71</f>
        <v>18937885502</v>
      </c>
      <c r="L72" s="171">
        <f>L69+L70-L71</f>
        <v>1515030.8401600001</v>
      </c>
    </row>
    <row r="73" spans="2:12" thickTop="1" x14ac:dyDescent="0.3">
      <c r="B73" s="3"/>
      <c r="C73" s="3"/>
      <c r="D73" s="3"/>
      <c r="I73" s="94"/>
      <c r="J73" s="94"/>
    </row>
    <row r="74" spans="2:12" ht="14.4" x14ac:dyDescent="0.3">
      <c r="B74" s="3"/>
      <c r="C74" s="3"/>
      <c r="D74" s="3"/>
      <c r="I74" s="94" t="s">
        <v>313</v>
      </c>
      <c r="J74" s="95">
        <f>J72</f>
        <v>18937885502</v>
      </c>
      <c r="L74" s="3">
        <f>J74*$K$4</f>
        <v>1515030.8401600001</v>
      </c>
    </row>
    <row r="75" spans="2:12" ht="14.4" x14ac:dyDescent="0.3">
      <c r="B75" s="3"/>
      <c r="C75" s="3"/>
      <c r="D75" s="3"/>
      <c r="I75" s="94" t="s">
        <v>153</v>
      </c>
      <c r="J75" s="98">
        <v>0</v>
      </c>
      <c r="L75" s="3">
        <f>J75*$K$4</f>
        <v>0</v>
      </c>
    </row>
    <row r="76" spans="2:12" ht="14.4" x14ac:dyDescent="0.3">
      <c r="B76" s="3"/>
      <c r="C76" s="3"/>
      <c r="D76" s="3"/>
      <c r="I76" s="94" t="s">
        <v>154</v>
      </c>
      <c r="J76" s="99">
        <v>0</v>
      </c>
      <c r="L76" s="3">
        <f>J76*$K$4</f>
        <v>0</v>
      </c>
    </row>
    <row r="77" spans="2:12" thickBot="1" x14ac:dyDescent="0.35">
      <c r="B77" s="3"/>
      <c r="C77" s="3"/>
      <c r="D77" s="3"/>
      <c r="I77" s="94" t="s">
        <v>314</v>
      </c>
      <c r="J77" s="182">
        <f>J74+J75-J76</f>
        <v>18937885502</v>
      </c>
      <c r="L77" s="171">
        <f>L74+L75-L76</f>
        <v>1515030.8401600001</v>
      </c>
    </row>
    <row r="78" spans="2:12" thickTop="1" x14ac:dyDescent="0.3">
      <c r="B78" s="3"/>
      <c r="C78" s="3"/>
      <c r="D78" s="3"/>
    </row>
    <row r="79" spans="2:12" ht="14.4" x14ac:dyDescent="0.3">
      <c r="B79" s="3"/>
      <c r="C79" s="3"/>
      <c r="D79" s="3"/>
    </row>
    <row r="80" spans="2:12" ht="14.4" x14ac:dyDescent="0.3">
      <c r="B80" s="3"/>
      <c r="C80" s="3"/>
      <c r="D80" s="3"/>
    </row>
    <row r="81" spans="2:4" ht="14.4" x14ac:dyDescent="0.3">
      <c r="B81" s="3"/>
      <c r="C81" s="3"/>
      <c r="D81" s="3"/>
    </row>
    <row r="82" spans="2:4" ht="14.4" x14ac:dyDescent="0.3">
      <c r="B82" s="3"/>
      <c r="C82" s="3"/>
      <c r="D82" s="3"/>
    </row>
    <row r="83" spans="2:4" ht="14.4" x14ac:dyDescent="0.3">
      <c r="B83" s="3"/>
      <c r="C83" s="3"/>
      <c r="D83" s="3"/>
    </row>
    <row r="84" spans="2:4" ht="14.4" x14ac:dyDescent="0.3">
      <c r="B84" s="3"/>
      <c r="C84" s="3"/>
      <c r="D84" s="3"/>
    </row>
  </sheetData>
  <mergeCells count="4">
    <mergeCell ref="B2:D2"/>
    <mergeCell ref="F2:G2"/>
    <mergeCell ref="J2:L2"/>
    <mergeCell ref="O2:P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E639-C601-4F7A-BF5F-46F7451CA70F}">
  <sheetPr>
    <tabColor rgb="FFFFC000"/>
  </sheetPr>
  <dimension ref="A1:I15"/>
  <sheetViews>
    <sheetView workbookViewId="0">
      <pane ySplit="3" topLeftCell="A5" activePane="bottomLeft" state="frozen"/>
      <selection pane="bottomLeft" activeCell="E9" sqref="E9"/>
    </sheetView>
  </sheetViews>
  <sheetFormatPr defaultRowHeight="14.4" x14ac:dyDescent="0.3"/>
  <cols>
    <col min="3" max="3" width="15.109375" customWidth="1"/>
    <col min="4" max="4" width="19.6640625" bestFit="1" customWidth="1"/>
    <col min="5" max="5" width="21.33203125" customWidth="1"/>
    <col min="6" max="6" width="15.33203125" customWidth="1"/>
    <col min="7" max="8" width="21.33203125" customWidth="1"/>
    <col min="9" max="9" width="15.109375" bestFit="1" customWidth="1"/>
  </cols>
  <sheetData>
    <row r="1" spans="1:9" x14ac:dyDescent="0.3">
      <c r="A1" s="52" t="s">
        <v>209</v>
      </c>
      <c r="D1" s="2" t="s">
        <v>210</v>
      </c>
      <c r="E1" s="43" t="e">
        <f>E2-INV!#REF!</f>
        <v>#REF!</v>
      </c>
    </row>
    <row r="2" spans="1:9" ht="15" thickBot="1" x14ac:dyDescent="0.35">
      <c r="D2" s="2" t="s">
        <v>211</v>
      </c>
      <c r="E2" s="46">
        <f>SUBTOTAL(9,E4:E15)</f>
        <v>1974756443</v>
      </c>
      <c r="F2" s="46">
        <f t="shared" ref="F2:I2" si="0">SUBTOTAL(9,F4:F15)</f>
        <v>0</v>
      </c>
      <c r="G2" s="46">
        <f t="shared" si="0"/>
        <v>1974756443</v>
      </c>
      <c r="H2" s="46">
        <f t="shared" si="0"/>
        <v>1974756443</v>
      </c>
      <c r="I2" s="46">
        <f t="shared" si="0"/>
        <v>0</v>
      </c>
    </row>
    <row r="3" spans="1:9" ht="54" customHeight="1" thickBot="1" x14ac:dyDescent="0.35">
      <c r="D3" s="44" t="s">
        <v>212</v>
      </c>
      <c r="E3" s="47" t="s">
        <v>213</v>
      </c>
      <c r="F3" s="61" t="s">
        <v>214</v>
      </c>
      <c r="G3" s="62" t="s">
        <v>215</v>
      </c>
      <c r="H3" s="45" t="s">
        <v>216</v>
      </c>
      <c r="I3" s="51" t="s">
        <v>217</v>
      </c>
    </row>
    <row r="4" spans="1:9" x14ac:dyDescent="0.3">
      <c r="D4" s="48">
        <v>46023</v>
      </c>
      <c r="E4" s="49">
        <f>INV!H9</f>
        <v>202210185</v>
      </c>
      <c r="F4" s="49">
        <v>0</v>
      </c>
      <c r="G4" s="50">
        <f>SUM(E4:F4)</f>
        <v>202210185</v>
      </c>
      <c r="H4" s="49">
        <f>'QC Reporting '!C9</f>
        <v>202210185</v>
      </c>
      <c r="I4" s="50">
        <f>H4-G4</f>
        <v>0</v>
      </c>
    </row>
    <row r="5" spans="1:9" x14ac:dyDescent="0.3">
      <c r="D5" s="184">
        <v>46054</v>
      </c>
      <c r="E5" s="185">
        <f>INV!H11</f>
        <v>0</v>
      </c>
      <c r="F5" s="185">
        <v>0</v>
      </c>
      <c r="G5" s="174">
        <f t="shared" ref="G5:G15" si="1">SUM(E5:F5)</f>
        <v>0</v>
      </c>
      <c r="H5" s="174">
        <f>'QC Reporting '!D9</f>
        <v>0</v>
      </c>
      <c r="I5" s="174">
        <f t="shared" ref="I5:I15" si="2">H5-G5</f>
        <v>0</v>
      </c>
    </row>
    <row r="6" spans="1:9" x14ac:dyDescent="0.3">
      <c r="D6" s="184">
        <v>46082</v>
      </c>
      <c r="E6" s="185">
        <f>INV!H18</f>
        <v>465393580</v>
      </c>
      <c r="F6" s="185">
        <v>0</v>
      </c>
      <c r="G6" s="174">
        <f t="shared" si="1"/>
        <v>465393580</v>
      </c>
      <c r="H6" s="174">
        <f>'QC Reporting '!E9</f>
        <v>465393580</v>
      </c>
      <c r="I6" s="174">
        <f t="shared" si="2"/>
        <v>0</v>
      </c>
    </row>
    <row r="7" spans="1:9" x14ac:dyDescent="0.3">
      <c r="D7" s="184">
        <v>46113</v>
      </c>
      <c r="E7" s="185">
        <f>INV!H25</f>
        <v>301208000</v>
      </c>
      <c r="F7" s="185">
        <v>0</v>
      </c>
      <c r="G7" s="174">
        <f t="shared" si="1"/>
        <v>301208000</v>
      </c>
      <c r="H7" s="174">
        <f>'QC Reporting '!F9</f>
        <v>301208000</v>
      </c>
      <c r="I7" s="174">
        <f t="shared" si="2"/>
        <v>0</v>
      </c>
    </row>
    <row r="8" spans="1:9" x14ac:dyDescent="0.3">
      <c r="D8" s="184">
        <v>46143</v>
      </c>
      <c r="E8" s="185">
        <f>INV!H32</f>
        <v>357633554</v>
      </c>
      <c r="F8" s="185">
        <v>0</v>
      </c>
      <c r="G8" s="174">
        <f t="shared" si="1"/>
        <v>357633554</v>
      </c>
      <c r="H8" s="174">
        <f>'QC Reporting '!G9</f>
        <v>357633554</v>
      </c>
      <c r="I8" s="174">
        <f t="shared" si="2"/>
        <v>0</v>
      </c>
    </row>
    <row r="9" spans="1:9" x14ac:dyDescent="0.3">
      <c r="D9" s="184">
        <v>46174</v>
      </c>
      <c r="E9" s="185">
        <f>INV!H40</f>
        <v>648311124</v>
      </c>
      <c r="F9" s="185">
        <v>0</v>
      </c>
      <c r="G9" s="174">
        <f t="shared" si="1"/>
        <v>648311124</v>
      </c>
      <c r="H9" s="174">
        <f>'QC Reporting '!H9</f>
        <v>648311124</v>
      </c>
      <c r="I9" s="174">
        <f t="shared" si="2"/>
        <v>0</v>
      </c>
    </row>
    <row r="10" spans="1:9" x14ac:dyDescent="0.3">
      <c r="D10" s="184">
        <v>46204</v>
      </c>
      <c r="E10" s="185">
        <v>0</v>
      </c>
      <c r="F10" s="185">
        <v>0</v>
      </c>
      <c r="G10" s="174">
        <f t="shared" si="1"/>
        <v>0</v>
      </c>
      <c r="H10" s="185">
        <v>0</v>
      </c>
      <c r="I10" s="174">
        <f t="shared" si="2"/>
        <v>0</v>
      </c>
    </row>
    <row r="11" spans="1:9" x14ac:dyDescent="0.3">
      <c r="D11" s="184">
        <v>46235</v>
      </c>
      <c r="E11" s="185">
        <v>0</v>
      </c>
      <c r="F11" s="185">
        <v>0</v>
      </c>
      <c r="G11" s="174">
        <f t="shared" si="1"/>
        <v>0</v>
      </c>
      <c r="H11" s="186">
        <v>0</v>
      </c>
      <c r="I11" s="174">
        <f t="shared" si="2"/>
        <v>0</v>
      </c>
    </row>
    <row r="12" spans="1:9" x14ac:dyDescent="0.3">
      <c r="D12" s="184">
        <v>46266</v>
      </c>
      <c r="E12" s="185">
        <v>0</v>
      </c>
      <c r="F12" s="185">
        <v>0</v>
      </c>
      <c r="G12" s="174">
        <f t="shared" si="1"/>
        <v>0</v>
      </c>
      <c r="H12" s="185">
        <v>0</v>
      </c>
      <c r="I12" s="174">
        <f t="shared" si="2"/>
        <v>0</v>
      </c>
    </row>
    <row r="13" spans="1:9" x14ac:dyDescent="0.3">
      <c r="D13" s="184">
        <v>46296</v>
      </c>
      <c r="E13" s="185">
        <v>0</v>
      </c>
      <c r="F13" s="185">
        <v>0</v>
      </c>
      <c r="G13" s="174">
        <f t="shared" si="1"/>
        <v>0</v>
      </c>
      <c r="H13" s="185">
        <v>0</v>
      </c>
      <c r="I13" s="174">
        <f t="shared" si="2"/>
        <v>0</v>
      </c>
    </row>
    <row r="14" spans="1:9" x14ac:dyDescent="0.3">
      <c r="D14" s="184">
        <v>46327</v>
      </c>
      <c r="E14" s="185">
        <v>0</v>
      </c>
      <c r="F14" s="185">
        <v>0</v>
      </c>
      <c r="G14" s="174">
        <f t="shared" si="1"/>
        <v>0</v>
      </c>
      <c r="H14" s="185">
        <v>0</v>
      </c>
      <c r="I14" s="174">
        <f t="shared" si="2"/>
        <v>0</v>
      </c>
    </row>
    <row r="15" spans="1:9" x14ac:dyDescent="0.3">
      <c r="D15" s="184">
        <v>46357</v>
      </c>
      <c r="E15" s="185">
        <v>0</v>
      </c>
      <c r="F15" s="185">
        <v>0</v>
      </c>
      <c r="G15" s="174">
        <f t="shared" si="1"/>
        <v>0</v>
      </c>
      <c r="H15" s="175"/>
      <c r="I15" s="174">
        <f t="shared" si="2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97E5-5DF5-4B62-852F-36726B80C184}">
  <dimension ref="B2:O45"/>
  <sheetViews>
    <sheetView zoomScale="67" zoomScaleNormal="80" workbookViewId="0">
      <pane xSplit="7" ySplit="5" topLeftCell="H26" activePane="bottomRight" state="frozen"/>
      <selection pane="topRight" activeCell="H1" sqref="H1"/>
      <selection pane="bottomLeft" activeCell="A6" sqref="A6"/>
      <selection pane="bottomRight" activeCell="H50" sqref="H50"/>
    </sheetView>
  </sheetViews>
  <sheetFormatPr defaultColWidth="8.6640625" defaultRowHeight="12" x14ac:dyDescent="0.25"/>
  <cols>
    <col min="1" max="1" width="8.6640625" style="58"/>
    <col min="2" max="2" width="14.33203125" style="58" customWidth="1"/>
    <col min="3" max="3" width="18.33203125" style="58" customWidth="1"/>
    <col min="4" max="4" width="20" style="58" customWidth="1"/>
    <col min="5" max="6" width="13.6640625" style="59" customWidth="1"/>
    <col min="7" max="7" width="49.5546875" style="58" customWidth="1"/>
    <col min="8" max="8" width="20.44140625" style="58" customWidth="1"/>
    <col min="9" max="9" width="16.33203125" style="58" bestFit="1" customWidth="1"/>
    <col min="10" max="10" width="17.6640625" style="58" bestFit="1" customWidth="1"/>
    <col min="11" max="11" width="19" style="58" bestFit="1" customWidth="1"/>
    <col min="12" max="16384" width="8.6640625" style="58"/>
  </cols>
  <sheetData>
    <row r="2" spans="2:11" ht="12.6" x14ac:dyDescent="0.3">
      <c r="B2" s="410" t="s">
        <v>218</v>
      </c>
      <c r="C2" s="410"/>
      <c r="D2" s="410"/>
      <c r="E2" s="410"/>
      <c r="F2" s="410"/>
      <c r="G2" s="410"/>
      <c r="H2" s="410"/>
      <c r="I2" s="410"/>
      <c r="J2" s="410"/>
    </row>
    <row r="3" spans="2:11" ht="12.6" x14ac:dyDescent="0.3">
      <c r="B3" s="410" t="s">
        <v>239</v>
      </c>
      <c r="C3" s="410"/>
      <c r="D3" s="410"/>
      <c r="E3" s="410"/>
      <c r="F3" s="410"/>
      <c r="G3" s="410"/>
      <c r="H3" s="410"/>
      <c r="I3" s="410"/>
      <c r="J3" s="410"/>
    </row>
    <row r="4" spans="2:11" x14ac:dyDescent="0.25">
      <c r="J4" s="58" t="s">
        <v>219</v>
      </c>
    </row>
    <row r="5" spans="2:11" ht="13.2" thickBot="1" x14ac:dyDescent="0.35">
      <c r="B5" s="233" t="s">
        <v>220</v>
      </c>
      <c r="C5" s="234" t="s">
        <v>221</v>
      </c>
      <c r="D5" s="233" t="s">
        <v>222</v>
      </c>
      <c r="E5" s="234" t="s">
        <v>223</v>
      </c>
      <c r="F5" s="234" t="s">
        <v>224</v>
      </c>
      <c r="G5" s="233" t="s">
        <v>225</v>
      </c>
      <c r="H5" s="235" t="s">
        <v>226</v>
      </c>
      <c r="I5" s="236" t="s">
        <v>227</v>
      </c>
      <c r="J5" s="236" t="s">
        <v>228</v>
      </c>
    </row>
    <row r="6" spans="2:11" ht="12.6" thickTop="1" x14ac:dyDescent="0.25">
      <c r="B6" s="203" t="s">
        <v>346</v>
      </c>
      <c r="C6" s="203">
        <v>46029</v>
      </c>
      <c r="D6" s="237" t="s">
        <v>351</v>
      </c>
      <c r="E6" s="200">
        <v>251101037</v>
      </c>
      <c r="F6" s="200" t="s">
        <v>235</v>
      </c>
      <c r="G6" s="238" t="s">
        <v>354</v>
      </c>
      <c r="H6" s="291">
        <v>108274310</v>
      </c>
      <c r="I6" s="60">
        <f>MROUND((K6*11%),1)</f>
        <v>5955087</v>
      </c>
      <c r="J6" s="239">
        <f>K6+I6</f>
        <v>60092242</v>
      </c>
      <c r="K6" s="290">
        <v>54137155</v>
      </c>
    </row>
    <row r="7" spans="2:11" x14ac:dyDescent="0.25">
      <c r="B7" s="203" t="s">
        <v>349</v>
      </c>
      <c r="C7" s="203">
        <v>46030</v>
      </c>
      <c r="D7" s="237" t="s">
        <v>352</v>
      </c>
      <c r="E7" s="200">
        <v>251101036</v>
      </c>
      <c r="F7" s="289" t="s">
        <v>248</v>
      </c>
      <c r="G7" s="238" t="s">
        <v>355</v>
      </c>
      <c r="H7" s="202">
        <v>81120000</v>
      </c>
      <c r="I7" s="60">
        <f t="shared" ref="I7:I8" si="0">MROUND((H7*11%),1)</f>
        <v>8923200</v>
      </c>
      <c r="J7" s="194">
        <f t="shared" ref="J7:J8" si="1">H7+I7</f>
        <v>90043200</v>
      </c>
    </row>
    <row r="8" spans="2:11" x14ac:dyDescent="0.25">
      <c r="B8" s="203" t="s">
        <v>350</v>
      </c>
      <c r="C8" s="203">
        <v>46031</v>
      </c>
      <c r="D8" s="237" t="s">
        <v>353</v>
      </c>
      <c r="E8" s="200">
        <v>251101040</v>
      </c>
      <c r="F8" s="200" t="s">
        <v>271</v>
      </c>
      <c r="G8" s="238" t="s">
        <v>356</v>
      </c>
      <c r="H8" s="202">
        <v>12815875</v>
      </c>
      <c r="I8" s="60">
        <f t="shared" si="0"/>
        <v>1409746</v>
      </c>
      <c r="J8" s="194">
        <f t="shared" si="1"/>
        <v>14225621</v>
      </c>
    </row>
    <row r="9" spans="2:11" ht="14.7" customHeight="1" x14ac:dyDescent="0.3">
      <c r="B9" s="411" t="s">
        <v>348</v>
      </c>
      <c r="C9" s="412"/>
      <c r="D9" s="412"/>
      <c r="E9" s="412"/>
      <c r="F9" s="412"/>
      <c r="G9" s="413"/>
      <c r="H9" s="240">
        <f>SUM(H6:H8)</f>
        <v>202210185</v>
      </c>
      <c r="I9" s="240">
        <f t="shared" ref="I9:J9" si="2">SUM(I6:I8)</f>
        <v>16288033</v>
      </c>
      <c r="J9" s="240">
        <f t="shared" si="2"/>
        <v>164361063</v>
      </c>
    </row>
    <row r="10" spans="2:11" x14ac:dyDescent="0.25">
      <c r="B10" s="152" t="s">
        <v>378</v>
      </c>
      <c r="C10" s="242">
        <v>46066</v>
      </c>
      <c r="D10" s="243" t="s">
        <v>379</v>
      </c>
      <c r="E10" s="296">
        <v>2512010045</v>
      </c>
      <c r="F10" s="59" t="s">
        <v>286</v>
      </c>
      <c r="G10" s="297" t="s">
        <v>380</v>
      </c>
      <c r="H10" s="202"/>
      <c r="I10" s="202">
        <f>MROUND((K10*11%),1)</f>
        <v>174020000</v>
      </c>
      <c r="J10" s="194">
        <f>K10+I10</f>
        <v>1756020000</v>
      </c>
      <c r="K10" s="295">
        <f>40%*3955000000</f>
        <v>1582000000</v>
      </c>
    </row>
    <row r="11" spans="2:11" ht="12.6" x14ac:dyDescent="0.3">
      <c r="B11" s="409" t="s">
        <v>381</v>
      </c>
      <c r="C11" s="409"/>
      <c r="D11" s="409"/>
      <c r="E11" s="409"/>
      <c r="F11" s="417"/>
      <c r="G11" s="409"/>
      <c r="H11" s="240">
        <f>SUM(H10)</f>
        <v>0</v>
      </c>
      <c r="I11" s="240">
        <f t="shared" ref="I11:J11" si="3">SUM(I10)</f>
        <v>174020000</v>
      </c>
      <c r="J11" s="240">
        <f t="shared" si="3"/>
        <v>1756020000</v>
      </c>
    </row>
    <row r="12" spans="2:11" x14ac:dyDescent="0.25">
      <c r="B12" s="200" t="s">
        <v>425</v>
      </c>
      <c r="C12" s="203">
        <v>46097</v>
      </c>
      <c r="D12" s="237" t="s">
        <v>433</v>
      </c>
      <c r="E12" s="317">
        <v>2512010044</v>
      </c>
      <c r="F12" s="319" t="s">
        <v>277</v>
      </c>
      <c r="G12" s="318" t="s">
        <v>434</v>
      </c>
      <c r="H12" s="202">
        <v>61963200</v>
      </c>
      <c r="I12" s="60">
        <v>0</v>
      </c>
      <c r="J12" s="195">
        <f t="shared" ref="J12:J24" si="4">H12+I12</f>
        <v>61963200</v>
      </c>
      <c r="K12" s="201"/>
    </row>
    <row r="13" spans="2:11" x14ac:dyDescent="0.25">
      <c r="B13" s="200" t="s">
        <v>427</v>
      </c>
      <c r="C13" s="203">
        <v>46097</v>
      </c>
      <c r="D13" s="237" t="s">
        <v>435</v>
      </c>
      <c r="E13" s="317">
        <v>2511010038</v>
      </c>
      <c r="F13" s="320" t="s">
        <v>263</v>
      </c>
      <c r="G13" s="318" t="s">
        <v>436</v>
      </c>
      <c r="H13" s="202">
        <v>147957000</v>
      </c>
      <c r="I13" s="60">
        <v>0</v>
      </c>
      <c r="J13" s="195">
        <f t="shared" si="4"/>
        <v>147957000</v>
      </c>
      <c r="K13" s="201"/>
    </row>
    <row r="14" spans="2:11" x14ac:dyDescent="0.25">
      <c r="B14" s="200" t="s">
        <v>426</v>
      </c>
      <c r="C14" s="203">
        <v>46108</v>
      </c>
      <c r="D14" s="237" t="s">
        <v>437</v>
      </c>
      <c r="E14" s="317">
        <v>2512010042</v>
      </c>
      <c r="F14" s="320" t="s">
        <v>275</v>
      </c>
      <c r="G14" s="318" t="s">
        <v>438</v>
      </c>
      <c r="H14" s="202">
        <v>5000000</v>
      </c>
      <c r="I14" s="60">
        <f t="shared" ref="I14:I24" si="5">MROUND((H14*11%),1)</f>
        <v>550000</v>
      </c>
      <c r="J14" s="195">
        <f t="shared" si="4"/>
        <v>5550000</v>
      </c>
      <c r="K14" s="201"/>
    </row>
    <row r="15" spans="2:11" x14ac:dyDescent="0.25">
      <c r="B15" s="200" t="s">
        <v>428</v>
      </c>
      <c r="C15" s="203">
        <v>46108</v>
      </c>
      <c r="D15" s="237" t="s">
        <v>439</v>
      </c>
      <c r="E15" s="317">
        <v>2601010009</v>
      </c>
      <c r="F15" s="320" t="s">
        <v>340</v>
      </c>
      <c r="G15" s="318" t="s">
        <v>438</v>
      </c>
      <c r="H15" s="202">
        <v>23800000</v>
      </c>
      <c r="I15" s="60">
        <f t="shared" si="5"/>
        <v>2618000</v>
      </c>
      <c r="J15" s="195">
        <f t="shared" si="4"/>
        <v>26418000</v>
      </c>
      <c r="K15" s="201"/>
    </row>
    <row r="16" spans="2:11" x14ac:dyDescent="0.25">
      <c r="B16" s="200" t="s">
        <v>429</v>
      </c>
      <c r="C16" s="203">
        <v>46105</v>
      </c>
      <c r="D16" s="237" t="s">
        <v>440</v>
      </c>
      <c r="E16" s="317">
        <v>2510010033</v>
      </c>
      <c r="F16" s="320" t="s">
        <v>342</v>
      </c>
      <c r="G16" s="318" t="s">
        <v>229</v>
      </c>
      <c r="H16" s="202">
        <v>216268594</v>
      </c>
      <c r="I16" s="60">
        <f t="shared" si="5"/>
        <v>23789545</v>
      </c>
      <c r="J16" s="195">
        <f t="shared" si="4"/>
        <v>240058139</v>
      </c>
      <c r="K16" s="201"/>
    </row>
    <row r="17" spans="2:15" x14ac:dyDescent="0.25">
      <c r="B17" s="200" t="s">
        <v>430</v>
      </c>
      <c r="C17" s="203">
        <v>46107</v>
      </c>
      <c r="D17" s="237" t="s">
        <v>441</v>
      </c>
      <c r="E17" s="317">
        <v>2601010003</v>
      </c>
      <c r="F17" s="320" t="s">
        <v>327</v>
      </c>
      <c r="G17" s="318" t="s">
        <v>229</v>
      </c>
      <c r="H17" s="202">
        <v>10404786</v>
      </c>
      <c r="I17" s="60">
        <f t="shared" si="5"/>
        <v>1144526</v>
      </c>
      <c r="J17" s="195">
        <f t="shared" si="4"/>
        <v>11549312</v>
      </c>
      <c r="K17" s="201"/>
    </row>
    <row r="18" spans="2:15" ht="12.6" x14ac:dyDescent="0.3">
      <c r="B18" s="409" t="s">
        <v>442</v>
      </c>
      <c r="C18" s="409"/>
      <c r="D18" s="409"/>
      <c r="E18" s="409"/>
      <c r="F18" s="409"/>
      <c r="G18" s="409"/>
      <c r="H18" s="240">
        <f>SUM(H12:H17)</f>
        <v>465393580</v>
      </c>
      <c r="I18" s="240">
        <f t="shared" ref="I18:J18" si="6">SUM(I12:I17)</f>
        <v>28102071</v>
      </c>
      <c r="J18" s="240">
        <f t="shared" si="6"/>
        <v>493495651</v>
      </c>
    </row>
    <row r="19" spans="2:15" x14ac:dyDescent="0.25">
      <c r="B19" s="200" t="s">
        <v>469</v>
      </c>
      <c r="C19" s="203">
        <v>46119</v>
      </c>
      <c r="D19" s="237" t="s">
        <v>470</v>
      </c>
      <c r="E19" s="200">
        <v>2602010011</v>
      </c>
      <c r="F19" s="42" t="s">
        <v>376</v>
      </c>
      <c r="G19" s="238" t="s">
        <v>471</v>
      </c>
      <c r="H19" s="202">
        <v>62308400</v>
      </c>
      <c r="I19" s="60">
        <f t="shared" si="5"/>
        <v>6853924</v>
      </c>
      <c r="J19" s="195">
        <f t="shared" si="4"/>
        <v>69162324</v>
      </c>
      <c r="K19" s="201"/>
    </row>
    <row r="20" spans="2:15" x14ac:dyDescent="0.25">
      <c r="B20" s="200" t="s">
        <v>472</v>
      </c>
      <c r="C20" s="203">
        <v>46119</v>
      </c>
      <c r="D20" s="237" t="s">
        <v>473</v>
      </c>
      <c r="E20" s="200">
        <v>2603010016</v>
      </c>
      <c r="F20" s="200" t="s">
        <v>431</v>
      </c>
      <c r="G20" s="238" t="s">
        <v>471</v>
      </c>
      <c r="H20" s="202">
        <v>6358000</v>
      </c>
      <c r="I20" s="60">
        <f t="shared" si="5"/>
        <v>699380</v>
      </c>
      <c r="J20" s="195">
        <f t="shared" si="4"/>
        <v>7057380</v>
      </c>
      <c r="K20" s="201"/>
    </row>
    <row r="21" spans="2:15" x14ac:dyDescent="0.25">
      <c r="B21" s="200" t="s">
        <v>474</v>
      </c>
      <c r="C21" s="203">
        <v>46125</v>
      </c>
      <c r="D21" s="237" t="s">
        <v>475</v>
      </c>
      <c r="E21" s="200">
        <v>2512010046</v>
      </c>
      <c r="F21" s="200" t="s">
        <v>282</v>
      </c>
      <c r="G21" s="238" t="s">
        <v>476</v>
      </c>
      <c r="H21" s="202">
        <v>13500000</v>
      </c>
      <c r="I21" s="60">
        <f t="shared" si="5"/>
        <v>1485000</v>
      </c>
      <c r="J21" s="195">
        <f t="shared" si="4"/>
        <v>14985000</v>
      </c>
      <c r="K21" s="201"/>
    </row>
    <row r="22" spans="2:15" x14ac:dyDescent="0.25">
      <c r="B22" s="200" t="s">
        <v>477</v>
      </c>
      <c r="C22" s="203">
        <v>46118</v>
      </c>
      <c r="D22" s="237" t="s">
        <v>478</v>
      </c>
      <c r="E22" s="200">
        <v>2603010015</v>
      </c>
      <c r="F22" s="200" t="s">
        <v>480</v>
      </c>
      <c r="G22" s="238" t="s">
        <v>479</v>
      </c>
      <c r="H22" s="202">
        <v>39288600</v>
      </c>
      <c r="I22" s="60">
        <f t="shared" si="5"/>
        <v>4321746</v>
      </c>
      <c r="J22" s="195">
        <f t="shared" si="4"/>
        <v>43610346</v>
      </c>
      <c r="K22" s="201"/>
    </row>
    <row r="23" spans="2:15" x14ac:dyDescent="0.25">
      <c r="B23" s="200" t="s">
        <v>481</v>
      </c>
      <c r="C23" s="203">
        <v>46139</v>
      </c>
      <c r="D23" s="237" t="s">
        <v>482</v>
      </c>
      <c r="E23" s="200">
        <v>2602010013</v>
      </c>
      <c r="F23" s="200" t="s">
        <v>375</v>
      </c>
      <c r="G23" s="238" t="s">
        <v>483</v>
      </c>
      <c r="H23" s="202">
        <v>31796000</v>
      </c>
      <c r="I23" s="60">
        <f t="shared" si="5"/>
        <v>3497560</v>
      </c>
      <c r="J23" s="195">
        <f t="shared" si="4"/>
        <v>35293560</v>
      </c>
      <c r="K23" s="201"/>
    </row>
    <row r="24" spans="2:15" x14ac:dyDescent="0.25">
      <c r="B24" s="200" t="s">
        <v>484</v>
      </c>
      <c r="C24" s="203">
        <v>46142</v>
      </c>
      <c r="D24" s="237" t="s">
        <v>485</v>
      </c>
      <c r="E24" s="200">
        <v>2511010041</v>
      </c>
      <c r="F24" s="200" t="s">
        <v>260</v>
      </c>
      <c r="G24" s="238" t="s">
        <v>436</v>
      </c>
      <c r="H24" s="202">
        <v>147957000</v>
      </c>
      <c r="I24" s="60">
        <f t="shared" si="5"/>
        <v>16275270</v>
      </c>
      <c r="J24" s="195">
        <f t="shared" si="4"/>
        <v>164232270</v>
      </c>
      <c r="K24" s="201"/>
    </row>
    <row r="25" spans="2:15" ht="12.6" x14ac:dyDescent="0.3">
      <c r="B25" s="409" t="s">
        <v>486</v>
      </c>
      <c r="C25" s="409"/>
      <c r="D25" s="409"/>
      <c r="E25" s="409"/>
      <c r="F25" s="409"/>
      <c r="G25" s="409"/>
      <c r="H25" s="240">
        <f>SUM(H19:H24)</f>
        <v>301208000</v>
      </c>
      <c r="I25" s="240">
        <f t="shared" ref="I25:J25" si="7">SUM(I19:I24)</f>
        <v>33132880</v>
      </c>
      <c r="J25" s="240">
        <f t="shared" si="7"/>
        <v>334340880</v>
      </c>
    </row>
    <row r="26" spans="2:15" x14ac:dyDescent="0.25">
      <c r="B26" s="200" t="s">
        <v>507</v>
      </c>
      <c r="C26" s="203">
        <v>46148</v>
      </c>
      <c r="D26" s="237" t="s">
        <v>508</v>
      </c>
      <c r="E26" s="200">
        <v>2512010047</v>
      </c>
      <c r="F26" s="200" t="s">
        <v>290</v>
      </c>
      <c r="G26" s="238" t="s">
        <v>509</v>
      </c>
      <c r="H26" s="202">
        <v>119652546</v>
      </c>
      <c r="I26" s="202">
        <v>0</v>
      </c>
      <c r="J26" s="194">
        <f t="shared" ref="J26" si="8">H26+I26</f>
        <v>119652546</v>
      </c>
      <c r="M26" s="370"/>
      <c r="N26" s="370"/>
      <c r="O26" s="371"/>
    </row>
    <row r="27" spans="2:15" x14ac:dyDescent="0.25">
      <c r="B27" s="200" t="s">
        <v>510</v>
      </c>
      <c r="C27" s="203">
        <v>46155</v>
      </c>
      <c r="D27" s="237" t="s">
        <v>511</v>
      </c>
      <c r="E27" s="200">
        <v>2605010025</v>
      </c>
      <c r="F27" s="200" t="s">
        <v>499</v>
      </c>
      <c r="G27" s="357" t="s">
        <v>512</v>
      </c>
      <c r="H27" s="202"/>
      <c r="I27" s="202">
        <f>MROUND((K27*11%),1)</f>
        <v>6826380</v>
      </c>
      <c r="J27" s="194">
        <f>K27+I27</f>
        <v>68884380</v>
      </c>
      <c r="K27" s="373">
        <v>62058000</v>
      </c>
      <c r="L27" s="372"/>
      <c r="M27" s="370"/>
      <c r="N27" s="370"/>
    </row>
    <row r="28" spans="2:15" x14ac:dyDescent="0.25">
      <c r="B28" s="200" t="s">
        <v>513</v>
      </c>
      <c r="C28" s="203">
        <v>46168</v>
      </c>
      <c r="D28" s="237" t="s">
        <v>514</v>
      </c>
      <c r="E28" s="200">
        <v>2604010019</v>
      </c>
      <c r="F28" s="200" t="s">
        <v>461</v>
      </c>
      <c r="G28" s="238" t="s">
        <v>515</v>
      </c>
      <c r="H28" s="202">
        <v>57681000</v>
      </c>
      <c r="I28" s="202">
        <f t="shared" ref="I28:I31" si="9">MROUND((H28*11%),1)</f>
        <v>6344910</v>
      </c>
      <c r="J28" s="194">
        <f t="shared" ref="J28:J31" si="10">H28+I28</f>
        <v>64025910</v>
      </c>
      <c r="L28" s="372"/>
      <c r="M28" s="370"/>
      <c r="N28" s="370"/>
    </row>
    <row r="29" spans="2:15" x14ac:dyDescent="0.25">
      <c r="B29" s="200" t="s">
        <v>516</v>
      </c>
      <c r="C29" s="203">
        <v>46168</v>
      </c>
      <c r="D29" s="237" t="s">
        <v>517</v>
      </c>
      <c r="E29" s="200">
        <v>2604010018</v>
      </c>
      <c r="F29" s="200" t="s">
        <v>449</v>
      </c>
      <c r="G29" s="238" t="s">
        <v>479</v>
      </c>
      <c r="H29" s="202">
        <v>46494000</v>
      </c>
      <c r="I29" s="202">
        <f t="shared" si="9"/>
        <v>5114340</v>
      </c>
      <c r="J29" s="194">
        <f t="shared" si="10"/>
        <v>51608340</v>
      </c>
      <c r="L29" s="372"/>
      <c r="M29" s="370"/>
      <c r="N29" s="370"/>
    </row>
    <row r="30" spans="2:15" x14ac:dyDescent="0.25">
      <c r="B30" s="200" t="s">
        <v>518</v>
      </c>
      <c r="C30" s="203">
        <v>46162</v>
      </c>
      <c r="D30" s="237" t="s">
        <v>519</v>
      </c>
      <c r="E30" s="200">
        <v>2601010001</v>
      </c>
      <c r="F30" s="200" t="s">
        <v>315</v>
      </c>
      <c r="G30" s="238" t="s">
        <v>520</v>
      </c>
      <c r="H30" s="202">
        <v>18937708</v>
      </c>
      <c r="I30" s="202">
        <f t="shared" si="9"/>
        <v>2083148</v>
      </c>
      <c r="J30" s="194">
        <f t="shared" si="10"/>
        <v>21020856</v>
      </c>
      <c r="L30" s="372"/>
      <c r="M30" s="370"/>
      <c r="N30" s="370"/>
    </row>
    <row r="31" spans="2:15" x14ac:dyDescent="0.25">
      <c r="B31" s="200" t="s">
        <v>521</v>
      </c>
      <c r="C31" s="203">
        <v>46171</v>
      </c>
      <c r="D31" s="237" t="s">
        <v>522</v>
      </c>
      <c r="E31" s="200">
        <v>2604010022</v>
      </c>
      <c r="F31" s="200" t="s">
        <v>487</v>
      </c>
      <c r="G31" s="238" t="s">
        <v>471</v>
      </c>
      <c r="H31" s="202">
        <v>114868300</v>
      </c>
      <c r="I31" s="202">
        <f t="shared" si="9"/>
        <v>12635513</v>
      </c>
      <c r="J31" s="194">
        <f t="shared" si="10"/>
        <v>127503813</v>
      </c>
      <c r="L31" s="372"/>
      <c r="M31" s="370"/>
      <c r="N31" s="370"/>
    </row>
    <row r="32" spans="2:15" ht="12.6" x14ac:dyDescent="0.3">
      <c r="B32" s="409" t="s">
        <v>523</v>
      </c>
      <c r="C32" s="409"/>
      <c r="D32" s="409"/>
      <c r="E32" s="409"/>
      <c r="F32" s="409"/>
      <c r="G32" s="409"/>
      <c r="H32" s="240">
        <f>SUM(H26:H31)</f>
        <v>357633554</v>
      </c>
      <c r="I32" s="240">
        <f t="shared" ref="I32:J32" si="11">SUM(I26:I31)</f>
        <v>33004291</v>
      </c>
      <c r="J32" s="240">
        <f t="shared" si="11"/>
        <v>452695845</v>
      </c>
    </row>
    <row r="33" spans="2:15" x14ac:dyDescent="0.25">
      <c r="B33" s="200" t="s">
        <v>557</v>
      </c>
      <c r="C33" s="203">
        <v>46178</v>
      </c>
      <c r="D33" s="237" t="s">
        <v>564</v>
      </c>
      <c r="E33" s="200">
        <v>2512010043</v>
      </c>
      <c r="F33" s="200" t="s">
        <v>265</v>
      </c>
      <c r="G33" s="238" t="s">
        <v>520</v>
      </c>
      <c r="H33" s="202">
        <v>56813124</v>
      </c>
      <c r="I33" s="202">
        <f t="shared" ref="I33" si="12">MROUND((H33*11%),1)</f>
        <v>6249444</v>
      </c>
      <c r="J33" s="194">
        <f t="shared" ref="J33:J37" si="13">H33+I33</f>
        <v>63062568</v>
      </c>
      <c r="L33" s="370"/>
      <c r="M33" s="370"/>
      <c r="O33" s="371"/>
    </row>
    <row r="34" spans="2:15" x14ac:dyDescent="0.25">
      <c r="B34" s="200" t="s">
        <v>558</v>
      </c>
      <c r="C34" s="203">
        <v>46178</v>
      </c>
      <c r="D34" s="237" t="s">
        <v>565</v>
      </c>
      <c r="E34" s="200">
        <v>2511010035</v>
      </c>
      <c r="F34" s="200" t="s">
        <v>251</v>
      </c>
      <c r="G34" s="238" t="s">
        <v>566</v>
      </c>
      <c r="H34" s="202">
        <v>14886000</v>
      </c>
      <c r="I34" s="202">
        <v>0</v>
      </c>
      <c r="J34" s="194">
        <f t="shared" si="13"/>
        <v>14886000</v>
      </c>
      <c r="L34" s="370"/>
      <c r="M34" s="370"/>
      <c r="O34" s="371"/>
    </row>
    <row r="35" spans="2:15" x14ac:dyDescent="0.25">
      <c r="B35" s="200" t="s">
        <v>559</v>
      </c>
      <c r="C35" s="203">
        <v>46183</v>
      </c>
      <c r="D35" s="237" t="s">
        <v>567</v>
      </c>
      <c r="E35" s="200">
        <v>2511010034</v>
      </c>
      <c r="F35" s="200" t="s">
        <v>245</v>
      </c>
      <c r="G35" s="244" t="s">
        <v>568</v>
      </c>
      <c r="H35" s="202">
        <v>267200000</v>
      </c>
      <c r="I35" s="202">
        <v>0</v>
      </c>
      <c r="J35" s="194">
        <f t="shared" si="13"/>
        <v>267200000</v>
      </c>
      <c r="L35" s="370"/>
      <c r="M35" s="370"/>
      <c r="O35" s="371"/>
    </row>
    <row r="36" spans="2:15" x14ac:dyDescent="0.25">
      <c r="B36" s="200" t="s">
        <v>560</v>
      </c>
      <c r="C36" s="203">
        <v>46185</v>
      </c>
      <c r="D36" s="237" t="s">
        <v>569</v>
      </c>
      <c r="E36" s="200">
        <v>2602010012</v>
      </c>
      <c r="F36" s="200" t="s">
        <v>357</v>
      </c>
      <c r="G36" s="238" t="s">
        <v>570</v>
      </c>
      <c r="H36" s="202">
        <v>87000000</v>
      </c>
      <c r="I36" s="202">
        <v>0</v>
      </c>
      <c r="J36" s="194">
        <f t="shared" si="13"/>
        <v>87000000</v>
      </c>
      <c r="L36" s="370"/>
      <c r="M36" s="370"/>
    </row>
    <row r="37" spans="2:15" x14ac:dyDescent="0.25">
      <c r="B37" s="200" t="s">
        <v>561</v>
      </c>
      <c r="C37" s="203">
        <v>46188</v>
      </c>
      <c r="D37" s="237" t="s">
        <v>571</v>
      </c>
      <c r="E37" s="200">
        <v>2601010004</v>
      </c>
      <c r="F37" s="200" t="s">
        <v>329</v>
      </c>
      <c r="G37" s="238" t="s">
        <v>572</v>
      </c>
      <c r="H37" s="202">
        <v>22000000</v>
      </c>
      <c r="I37" s="202">
        <f t="shared" ref="I37" si="14">MROUND((H37*11%),1)</f>
        <v>2420000</v>
      </c>
      <c r="J37" s="194">
        <f t="shared" si="13"/>
        <v>24420000</v>
      </c>
      <c r="L37" s="370"/>
      <c r="M37" s="370"/>
      <c r="O37" s="371"/>
    </row>
    <row r="38" spans="2:15" x14ac:dyDescent="0.25">
      <c r="B38" s="200" t="s">
        <v>562</v>
      </c>
      <c r="C38" s="203">
        <v>46191</v>
      </c>
      <c r="D38" s="237" t="s">
        <v>573</v>
      </c>
      <c r="E38" s="200">
        <v>2605010025</v>
      </c>
      <c r="F38" s="200" t="s">
        <v>574</v>
      </c>
      <c r="G38" s="238" t="s">
        <v>575</v>
      </c>
      <c r="H38" s="202">
        <v>124116000</v>
      </c>
      <c r="I38" s="202">
        <f>MROUND((K38*11%),1)</f>
        <v>6826380</v>
      </c>
      <c r="J38" s="194">
        <f>K38+I38</f>
        <v>68884380</v>
      </c>
      <c r="K38" s="373">
        <v>62058000</v>
      </c>
      <c r="L38" s="370"/>
      <c r="M38" s="370"/>
    </row>
    <row r="39" spans="2:15" x14ac:dyDescent="0.25">
      <c r="B39" s="200" t="s">
        <v>563</v>
      </c>
      <c r="C39" s="365">
        <v>46203</v>
      </c>
      <c r="D39" s="237" t="s">
        <v>576</v>
      </c>
      <c r="E39" s="366">
        <v>2606010034</v>
      </c>
      <c r="F39" s="367" t="s">
        <v>555</v>
      </c>
      <c r="G39" s="238" t="s">
        <v>471</v>
      </c>
      <c r="H39" s="368">
        <v>76296000</v>
      </c>
      <c r="I39" s="202">
        <f t="shared" ref="I39" si="15">MROUND((H39*11%),1)</f>
        <v>8392560</v>
      </c>
      <c r="J39" s="194">
        <f t="shared" ref="J39" si="16">H39+I39</f>
        <v>84688560</v>
      </c>
      <c r="L39" s="370"/>
      <c r="M39" s="370"/>
    </row>
    <row r="40" spans="2:15" ht="12.6" x14ac:dyDescent="0.3">
      <c r="B40" s="369" t="s">
        <v>577</v>
      </c>
      <c r="C40" s="369"/>
      <c r="D40" s="369"/>
      <c r="E40" s="369"/>
      <c r="F40" s="369"/>
      <c r="G40" s="369"/>
      <c r="H40" s="240">
        <f>SUM(H33:H39)</f>
        <v>648311124</v>
      </c>
      <c r="I40" s="240">
        <f t="shared" ref="I40:J40" si="17">SUM(I33:I39)</f>
        <v>23888384</v>
      </c>
      <c r="J40" s="240">
        <f t="shared" si="17"/>
        <v>610141508</v>
      </c>
      <c r="L40" s="370"/>
      <c r="M40" s="370"/>
    </row>
    <row r="41" spans="2:15" x14ac:dyDescent="0.25">
      <c r="B41" s="152"/>
      <c r="C41" s="242"/>
      <c r="D41" s="243"/>
      <c r="E41" s="152"/>
      <c r="F41" s="200"/>
      <c r="G41" s="244"/>
      <c r="H41" s="187"/>
      <c r="I41" s="60">
        <f t="shared" ref="I41" si="18">MROUND((H41*11%),1)</f>
        <v>0</v>
      </c>
      <c r="J41" s="195">
        <f t="shared" ref="J41" si="19">H41+I41</f>
        <v>0</v>
      </c>
      <c r="K41" s="201"/>
    </row>
    <row r="42" spans="2:15" x14ac:dyDescent="0.25">
      <c r="B42" s="152"/>
      <c r="C42" s="242"/>
      <c r="D42" s="243"/>
      <c r="E42" s="152"/>
      <c r="F42" s="200"/>
      <c r="G42" s="244"/>
      <c r="H42" s="187"/>
      <c r="I42" s="60">
        <f t="shared" ref="I42:I43" si="20">MROUND((H42*11%),1)</f>
        <v>0</v>
      </c>
      <c r="J42" s="241">
        <f t="shared" ref="J42:J44" si="21">H42+I42</f>
        <v>0</v>
      </c>
      <c r="K42" s="201"/>
    </row>
    <row r="43" spans="2:15" x14ac:dyDescent="0.25">
      <c r="B43" s="152"/>
      <c r="C43" s="242"/>
      <c r="D43" s="243"/>
      <c r="E43" s="152"/>
      <c r="F43" s="200"/>
      <c r="G43" s="244"/>
      <c r="H43" s="187"/>
      <c r="I43" s="60">
        <f t="shared" si="20"/>
        <v>0</v>
      </c>
      <c r="J43" s="241">
        <f t="shared" si="21"/>
        <v>0</v>
      </c>
    </row>
    <row r="44" spans="2:15" x14ac:dyDescent="0.25">
      <c r="B44" s="152"/>
      <c r="C44" s="242"/>
      <c r="D44" s="243"/>
      <c r="E44" s="152"/>
      <c r="F44" s="200"/>
      <c r="G44" s="244"/>
      <c r="H44" s="187"/>
      <c r="I44" s="187">
        <f t="shared" ref="I44" si="22">H44*11%</f>
        <v>0</v>
      </c>
      <c r="J44" s="241">
        <f t="shared" si="21"/>
        <v>0</v>
      </c>
    </row>
    <row r="45" spans="2:15" ht="12.6" x14ac:dyDescent="0.3">
      <c r="B45" s="414" t="s">
        <v>230</v>
      </c>
      <c r="C45" s="415"/>
      <c r="D45" s="415"/>
      <c r="E45" s="415"/>
      <c r="F45" s="415"/>
      <c r="G45" s="416"/>
      <c r="H45" s="188">
        <f>H9+H11+H18+H25+H32+H40</f>
        <v>1974756443</v>
      </c>
      <c r="I45" s="188">
        <f t="shared" ref="I45:J45" si="23">I9+I11+I18+I25+I32+I40</f>
        <v>308435659</v>
      </c>
      <c r="J45" s="188">
        <f t="shared" si="23"/>
        <v>3811054947</v>
      </c>
    </row>
  </sheetData>
  <mergeCells count="8">
    <mergeCell ref="B18:G18"/>
    <mergeCell ref="B2:J2"/>
    <mergeCell ref="B3:J3"/>
    <mergeCell ref="B9:G9"/>
    <mergeCell ref="B45:G45"/>
    <mergeCell ref="B11:G11"/>
    <mergeCell ref="B25:G25"/>
    <mergeCell ref="B32:G32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C5BD2-E94D-4CB4-8C34-B870A5BAFDB6}">
  <dimension ref="A1:A6"/>
  <sheetViews>
    <sheetView workbookViewId="0">
      <selection activeCell="A3" sqref="A3"/>
    </sheetView>
  </sheetViews>
  <sheetFormatPr defaultRowHeight="14.4" x14ac:dyDescent="0.3"/>
  <cols>
    <col min="1" max="1" width="47" customWidth="1"/>
    <col min="2" max="2" width="19" customWidth="1"/>
    <col min="3" max="3" width="22.109375" customWidth="1"/>
    <col min="4" max="4" width="30.33203125" customWidth="1"/>
  </cols>
  <sheetData>
    <row r="1" spans="1:1" ht="15" thickBot="1" x14ac:dyDescent="0.35"/>
    <row r="2" spans="1:1" ht="15" thickBot="1" x14ac:dyDescent="0.35">
      <c r="A2" s="61" t="s">
        <v>231</v>
      </c>
    </row>
    <row r="3" spans="1:1" ht="15" x14ac:dyDescent="0.3">
      <c r="A3" s="191" t="s">
        <v>232</v>
      </c>
    </row>
    <row r="4" spans="1:1" ht="15" x14ac:dyDescent="0.3">
      <c r="A4" s="190" t="s">
        <v>233</v>
      </c>
    </row>
    <row r="5" spans="1:1" ht="30" x14ac:dyDescent="0.3">
      <c r="A5" s="190" t="s">
        <v>171</v>
      </c>
    </row>
    <row r="6" spans="1:1" ht="15" x14ac:dyDescent="0.3">
      <c r="A6" s="190" t="s">
        <v>234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66CB8-00BA-4C34-AD9D-EDA5D796D7E6}">
  <sheetPr>
    <tabColor rgb="FF92D050"/>
  </sheetPr>
  <dimension ref="A1:L14"/>
  <sheetViews>
    <sheetView workbookViewId="0">
      <selection activeCell="F14" sqref="F14"/>
    </sheetView>
  </sheetViews>
  <sheetFormatPr defaultRowHeight="14.4" x14ac:dyDescent="0.3"/>
  <cols>
    <col min="1" max="1" width="12" bestFit="1" customWidth="1"/>
    <col min="2" max="2" width="11.44140625" bestFit="1" customWidth="1"/>
    <col min="3" max="3" width="38.88671875" bestFit="1" customWidth="1"/>
    <col min="4" max="4" width="11.44140625" bestFit="1" customWidth="1"/>
    <col min="5" max="5" width="19.5546875" bestFit="1" customWidth="1"/>
    <col min="6" max="6" width="11.6640625" style="307" bestFit="1" customWidth="1"/>
    <col min="7" max="7" width="7.6640625" bestFit="1" customWidth="1"/>
    <col min="8" max="9" width="10.6640625" bestFit="1" customWidth="1"/>
    <col min="10" max="10" width="13.6640625" style="307" customWidth="1"/>
    <col min="11" max="11" width="12.109375" style="308" customWidth="1"/>
    <col min="12" max="12" width="10.6640625" style="308" customWidth="1"/>
  </cols>
  <sheetData>
    <row r="1" spans="1:12" ht="14.4" customHeight="1" x14ac:dyDescent="0.4">
      <c r="A1" s="333"/>
      <c r="B1" s="333"/>
      <c r="C1" s="333"/>
      <c r="D1" s="333"/>
      <c r="E1" s="333"/>
      <c r="F1" s="334"/>
      <c r="G1" s="333"/>
      <c r="H1" s="333"/>
      <c r="I1" s="333"/>
      <c r="J1" s="334"/>
      <c r="K1" s="418" t="s">
        <v>414</v>
      </c>
      <c r="L1" s="418"/>
    </row>
    <row r="2" spans="1:12" ht="50.4" x14ac:dyDescent="0.4">
      <c r="A2" s="335" t="s">
        <v>392</v>
      </c>
      <c r="B2" s="335" t="s">
        <v>150</v>
      </c>
      <c r="C2" s="335" t="s">
        <v>393</v>
      </c>
      <c r="D2" s="335" t="s">
        <v>394</v>
      </c>
      <c r="E2" s="335" t="s">
        <v>395</v>
      </c>
      <c r="F2" s="336" t="s">
        <v>6</v>
      </c>
      <c r="G2" s="336" t="s">
        <v>396</v>
      </c>
      <c r="H2" s="336" t="s">
        <v>412</v>
      </c>
      <c r="I2" s="336" t="s">
        <v>397</v>
      </c>
      <c r="J2" s="336" t="s">
        <v>413</v>
      </c>
      <c r="K2" s="337" t="s">
        <v>146</v>
      </c>
      <c r="L2" s="337" t="s">
        <v>391</v>
      </c>
    </row>
    <row r="3" spans="1:12" ht="16.8" x14ac:dyDescent="0.4">
      <c r="A3" s="338" t="s">
        <v>266</v>
      </c>
      <c r="B3" s="338" t="s">
        <v>398</v>
      </c>
      <c r="C3" s="338" t="s">
        <v>399</v>
      </c>
      <c r="D3" s="339">
        <v>46000</v>
      </c>
      <c r="E3" s="338" t="s">
        <v>400</v>
      </c>
      <c r="F3" s="340">
        <v>46000</v>
      </c>
      <c r="G3" s="341" t="s">
        <v>401</v>
      </c>
      <c r="H3" s="342">
        <v>2205</v>
      </c>
      <c r="I3" s="342">
        <v>2860.99</v>
      </c>
      <c r="J3" s="348"/>
      <c r="K3" s="343">
        <v>0.95</v>
      </c>
      <c r="L3" s="343">
        <v>0.05</v>
      </c>
    </row>
    <row r="4" spans="1:12" ht="16.8" x14ac:dyDescent="0.4">
      <c r="A4" s="338" t="s">
        <v>287</v>
      </c>
      <c r="B4" s="338" t="s">
        <v>402</v>
      </c>
      <c r="C4" s="338" t="s">
        <v>399</v>
      </c>
      <c r="D4" s="339">
        <v>46013</v>
      </c>
      <c r="E4" s="338" t="s">
        <v>288</v>
      </c>
      <c r="F4" s="340">
        <v>46013</v>
      </c>
      <c r="G4" s="341" t="s">
        <v>280</v>
      </c>
      <c r="H4" s="342">
        <v>184210.53</v>
      </c>
      <c r="I4" s="342">
        <v>276942.11</v>
      </c>
      <c r="J4" s="348"/>
      <c r="K4" s="343">
        <v>0.95</v>
      </c>
      <c r="L4" s="343">
        <v>0.05</v>
      </c>
    </row>
    <row r="5" spans="1:12" ht="16.8" x14ac:dyDescent="0.4">
      <c r="A5" s="338" t="s">
        <v>403</v>
      </c>
      <c r="B5" s="338" t="s">
        <v>404</v>
      </c>
      <c r="C5" s="338" t="s">
        <v>399</v>
      </c>
      <c r="D5" s="339">
        <v>46031</v>
      </c>
      <c r="E5" s="338" t="s">
        <v>322</v>
      </c>
      <c r="F5" s="340">
        <v>46031</v>
      </c>
      <c r="G5" s="341" t="s">
        <v>401</v>
      </c>
      <c r="H5" s="342">
        <v>2205</v>
      </c>
      <c r="I5" s="342">
        <v>2832.54</v>
      </c>
      <c r="J5" s="348"/>
      <c r="K5" s="343">
        <v>0.95</v>
      </c>
      <c r="L5" s="343">
        <v>0.05</v>
      </c>
    </row>
    <row r="6" spans="1:12" ht="16.8" x14ac:dyDescent="0.4">
      <c r="A6" s="338" t="s">
        <v>365</v>
      </c>
      <c r="B6" s="338" t="s">
        <v>405</v>
      </c>
      <c r="C6" s="338" t="s">
        <v>399</v>
      </c>
      <c r="D6" s="339">
        <v>46048</v>
      </c>
      <c r="E6" s="338" t="s">
        <v>364</v>
      </c>
      <c r="F6" s="340">
        <v>46048</v>
      </c>
      <c r="G6" s="341" t="s">
        <v>280</v>
      </c>
      <c r="H6" s="342">
        <v>3501</v>
      </c>
      <c r="I6" s="342">
        <v>5283.37</v>
      </c>
      <c r="J6" s="348"/>
      <c r="K6" s="343">
        <v>0.95</v>
      </c>
      <c r="L6" s="343">
        <v>0.05</v>
      </c>
    </row>
    <row r="7" spans="1:12" ht="16.8" x14ac:dyDescent="0.4">
      <c r="A7" s="338" t="s">
        <v>335</v>
      </c>
      <c r="B7" s="338" t="s">
        <v>406</v>
      </c>
      <c r="C7" s="338" t="s">
        <v>399</v>
      </c>
      <c r="D7" s="339">
        <v>46049</v>
      </c>
      <c r="E7" s="338" t="s">
        <v>334</v>
      </c>
      <c r="F7" s="340">
        <v>46049</v>
      </c>
      <c r="G7" s="341" t="s">
        <v>401</v>
      </c>
      <c r="H7" s="342">
        <v>109181.1</v>
      </c>
      <c r="I7" s="342">
        <v>140254.04999999999</v>
      </c>
      <c r="J7" s="348"/>
      <c r="K7" s="343">
        <v>0.95</v>
      </c>
      <c r="L7" s="343">
        <v>0.05</v>
      </c>
    </row>
    <row r="8" spans="1:12" ht="16.8" x14ac:dyDescent="0.4">
      <c r="A8" s="338" t="s">
        <v>362</v>
      </c>
      <c r="B8" s="338" t="s">
        <v>407</v>
      </c>
      <c r="C8" s="338" t="s">
        <v>399</v>
      </c>
      <c r="D8" s="339">
        <v>46057</v>
      </c>
      <c r="E8" s="338" t="s">
        <v>337</v>
      </c>
      <c r="F8" s="340">
        <v>46057</v>
      </c>
      <c r="G8" s="341" t="s">
        <v>280</v>
      </c>
      <c r="H8" s="342">
        <v>32269</v>
      </c>
      <c r="I8" s="342">
        <v>48884.3</v>
      </c>
      <c r="J8" s="348"/>
      <c r="K8" s="343">
        <v>0.95</v>
      </c>
      <c r="L8" s="343">
        <v>0.05</v>
      </c>
    </row>
    <row r="9" spans="1:12" ht="16.8" x14ac:dyDescent="0.4">
      <c r="A9" s="338" t="s">
        <v>358</v>
      </c>
      <c r="B9" s="338" t="s">
        <v>408</v>
      </c>
      <c r="C9" s="338" t="s">
        <v>399</v>
      </c>
      <c r="D9" s="339">
        <v>46066</v>
      </c>
      <c r="E9" s="338" t="s">
        <v>359</v>
      </c>
      <c r="F9" s="340">
        <v>46066</v>
      </c>
      <c r="G9" s="341" t="s">
        <v>280</v>
      </c>
      <c r="H9" s="342">
        <v>3075</v>
      </c>
      <c r="I9" s="342">
        <v>4658.32</v>
      </c>
      <c r="J9" s="348"/>
      <c r="K9" s="343">
        <v>0.95</v>
      </c>
      <c r="L9" s="343">
        <v>0.05</v>
      </c>
    </row>
    <row r="10" spans="1:12" ht="16.8" x14ac:dyDescent="0.4">
      <c r="A10" s="338" t="s">
        <v>409</v>
      </c>
      <c r="B10" s="338" t="s">
        <v>410</v>
      </c>
      <c r="C10" s="338" t="s">
        <v>399</v>
      </c>
      <c r="D10" s="339">
        <v>46093</v>
      </c>
      <c r="E10" s="338" t="s">
        <v>411</v>
      </c>
      <c r="F10" s="340">
        <v>46093</v>
      </c>
      <c r="G10" s="341" t="s">
        <v>401</v>
      </c>
      <c r="H10" s="342">
        <v>1422</v>
      </c>
      <c r="I10" s="342">
        <v>1797.41</v>
      </c>
      <c r="J10" s="349">
        <v>46120</v>
      </c>
      <c r="K10" s="343">
        <v>0.85</v>
      </c>
      <c r="L10" s="343">
        <v>0.15</v>
      </c>
    </row>
    <row r="11" spans="1:12" ht="16.8" x14ac:dyDescent="0.4">
      <c r="A11" s="333" t="s">
        <v>453</v>
      </c>
      <c r="B11" s="333" t="s">
        <v>454</v>
      </c>
      <c r="C11" s="333" t="s">
        <v>0</v>
      </c>
      <c r="D11" s="344">
        <v>46120</v>
      </c>
      <c r="E11" s="345" t="s">
        <v>450</v>
      </c>
      <c r="F11" s="346">
        <v>46141</v>
      </c>
      <c r="G11" s="350" t="s">
        <v>401</v>
      </c>
      <c r="H11" s="347">
        <v>1791</v>
      </c>
      <c r="I11" s="347">
        <v>2303.0500000000002</v>
      </c>
      <c r="J11" s="348"/>
      <c r="K11" s="343">
        <v>0.85</v>
      </c>
      <c r="L11" s="343">
        <v>0.15</v>
      </c>
    </row>
    <row r="12" spans="1:12" ht="16.8" x14ac:dyDescent="0.4">
      <c r="A12" s="333" t="s">
        <v>455</v>
      </c>
      <c r="B12" s="333" t="s">
        <v>456</v>
      </c>
      <c r="C12" s="333" t="s">
        <v>0</v>
      </c>
      <c r="D12" s="344">
        <v>46122</v>
      </c>
      <c r="E12" s="345" t="s">
        <v>452</v>
      </c>
      <c r="F12" s="346">
        <v>46143</v>
      </c>
      <c r="G12" s="350" t="s">
        <v>151</v>
      </c>
      <c r="H12" s="347">
        <v>5454</v>
      </c>
      <c r="I12" s="347">
        <v>5454</v>
      </c>
      <c r="J12" s="348"/>
      <c r="K12" s="343">
        <v>0.85</v>
      </c>
      <c r="L12" s="343">
        <v>0.15</v>
      </c>
    </row>
    <row r="13" spans="1:12" ht="16.8" x14ac:dyDescent="0.4">
      <c r="A13" s="333" t="s">
        <v>457</v>
      </c>
      <c r="B13" s="333" t="s">
        <v>458</v>
      </c>
      <c r="C13" s="333" t="s">
        <v>0</v>
      </c>
      <c r="D13" s="344">
        <v>46128</v>
      </c>
      <c r="E13" s="345" t="s">
        <v>459</v>
      </c>
      <c r="F13" s="346">
        <v>46148</v>
      </c>
      <c r="G13" s="350" t="s">
        <v>151</v>
      </c>
      <c r="H13" s="347">
        <v>6688.71</v>
      </c>
      <c r="I13" s="347">
        <v>6688.71</v>
      </c>
      <c r="J13" s="348"/>
      <c r="K13" s="343">
        <v>0.5</v>
      </c>
      <c r="L13" s="343">
        <v>0.5</v>
      </c>
    </row>
    <row r="14" spans="1:12" ht="16.8" x14ac:dyDescent="0.4">
      <c r="A14" s="354" t="s">
        <v>491</v>
      </c>
      <c r="B14" s="333" t="s">
        <v>458</v>
      </c>
      <c r="C14" s="333" t="s">
        <v>0</v>
      </c>
      <c r="D14" s="344">
        <v>46147</v>
      </c>
      <c r="E14" s="345" t="s">
        <v>492</v>
      </c>
      <c r="F14" s="346">
        <v>46147</v>
      </c>
      <c r="G14" s="350" t="s">
        <v>151</v>
      </c>
      <c r="H14" s="347">
        <v>3685</v>
      </c>
      <c r="I14" s="347">
        <v>3685</v>
      </c>
      <c r="J14" s="355"/>
      <c r="K14" s="343">
        <v>0.5</v>
      </c>
      <c r="L14" s="343">
        <v>0.5</v>
      </c>
    </row>
  </sheetData>
  <mergeCells count="1"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Order intake 2024</vt:lpstr>
      <vt:lpstr>May 2025</vt:lpstr>
      <vt:lpstr>Jun 2025</vt:lpstr>
      <vt:lpstr>Order Book</vt:lpstr>
      <vt:lpstr>PIVOT-CUSTOMER</vt:lpstr>
      <vt:lpstr>Order Booking &gt; Billing  2026</vt:lpstr>
      <vt:lpstr>QC Reporting </vt:lpstr>
      <vt:lpstr>Backlog Checking</vt:lpstr>
      <vt:lpstr>Sales-MTD</vt:lpstr>
      <vt:lpstr>INV</vt:lpstr>
      <vt:lpstr>Sheet2</vt:lpstr>
      <vt:lpstr>PROFIT SHARING</vt:lpstr>
      <vt:lpstr>'Order Book'!Print_Area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Brenn Santos</dc:creator>
  <cp:keywords/>
  <dc:description/>
  <cp:lastModifiedBy>Anton Setiawan</cp:lastModifiedBy>
  <cp:revision/>
  <cp:lastPrinted>2026-02-04T07:14:43Z</cp:lastPrinted>
  <dcterms:created xsi:type="dcterms:W3CDTF">2025-03-04T08:24:46Z</dcterms:created>
  <dcterms:modified xsi:type="dcterms:W3CDTF">2026-07-05T07:13:08Z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18441</vt:lpwstr>
  </property>
</Properties>
</file>